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Log" sheetId="1" state="visible" r:id="rId1"/>
    <sheet xmlns:r="http://schemas.openxmlformats.org/officeDocument/2006/relationships" name="Practice Sets" sheetId="2" state="visible" r:id="rId2"/>
    <sheet xmlns:r="http://schemas.openxmlformats.org/officeDocument/2006/relationships" name="Mock Tests" sheetId="3" state="visible" r:id="rId3"/>
    <sheet xmlns:r="http://schemas.openxmlformats.org/officeDocument/2006/relationships" name="Mistake Log" sheetId="4" state="visible" r:id="rId4"/>
    <sheet xmlns:r="http://schemas.openxmlformats.org/officeDocument/2006/relationships" name="Topic Mastery" sheetId="5" state="visible" r:id="rId5"/>
    <sheet xmlns:r="http://schemas.openxmlformats.org/officeDocument/2006/relationships" name="90-Day Plan" sheetId="6" state="visible" r:id="rId6"/>
    <sheet xmlns:r="http://schemas.openxmlformats.org/officeDocument/2006/relationships" name="Lists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Calibri"/>
      <b val="1"/>
      <color rgb="001E40AF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164" fontId="0" fillId="3" borderId="1" pivotButton="0" quotePrefix="0" xfId="0"/>
    <xf numFmtId="0" fontId="0" fillId="3" borderId="1" pivotButton="0" quotePrefix="0" xfId="0"/>
    <xf numFmtId="9" fontId="0" fillId="3" borderId="1" pivotButton="0" quotePrefix="0" xfId="0"/>
    <xf numFmtId="1" fontId="0" fillId="3" borderId="1" pivotButton="0" quotePrefix="0" xfId="0"/>
    <xf numFmtId="164" fontId="0" fillId="0" borderId="1" pivotButton="0" quotePrefix="0" xfId="0"/>
    <xf numFmtId="0" fontId="0" fillId="0" borderId="1" pivotButton="0" quotePrefix="0" xfId="0"/>
    <xf numFmtId="9" fontId="0" fillId="0" borderId="1" pivotButton="0" quotePrefix="0" xfId="0"/>
    <xf numFmtId="1" fontId="0" fillId="0" borderId="1" pivotButton="0" quotePrefix="0" xfId="0"/>
    <xf numFmtId="0" fontId="3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DCFCE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1" customWidth="1" min="3" max="3"/>
    <col width="10" customWidth="1" min="4" max="4"/>
    <col width="11" customWidth="1" min="5" max="5"/>
    <col width="10" customWidth="1" min="6" max="6"/>
    <col width="14" customWidth="1" min="7" max="7"/>
    <col width="40" customWidth="1" min="8" max="8"/>
  </cols>
  <sheetData>
    <row r="1">
      <c r="A1" s="1" t="inlineStr">
        <is>
          <t>Daily practice log</t>
        </is>
      </c>
    </row>
    <row r="3" ht="30" customHeight="1">
      <c r="A3" s="2" t="inlineStr">
        <is>
          <t>Date</t>
        </is>
      </c>
      <c r="B3" s="2" t="inlineStr">
        <is>
          <t>Topic</t>
        </is>
      </c>
      <c r="C3" s="2" t="inlineStr">
        <is>
          <t>Questions</t>
        </is>
      </c>
      <c r="D3" s="2" t="inlineStr">
        <is>
          <t>Correct</t>
        </is>
      </c>
      <c r="E3" s="2" t="inlineStr">
        <is>
          <t>Accuracy</t>
        </is>
      </c>
      <c r="F3" s="2" t="inlineStr">
        <is>
          <t>Minutes</t>
        </is>
      </c>
      <c r="G3" s="2" t="inlineStr">
        <is>
          <t>Sec / question</t>
        </is>
      </c>
      <c r="H3" s="2" t="inlineStr">
        <is>
          <t>Notes</t>
        </is>
      </c>
    </row>
    <row r="4">
      <c r="A4" s="3" t="n"/>
      <c r="B4" s="4" t="n"/>
      <c r="C4" s="4" t="n"/>
      <c r="D4" s="4" t="n"/>
      <c r="E4" s="5">
        <f>IF(C4&gt;0,D4/C4,"")</f>
        <v/>
      </c>
      <c r="F4" s="4" t="n"/>
      <c r="G4" s="6">
        <f>IF(C4&gt;0,F4*60/C4,"")</f>
        <v/>
      </c>
      <c r="H4" s="4" t="n"/>
    </row>
    <row r="5">
      <c r="A5" s="7" t="n"/>
      <c r="B5" s="8" t="n"/>
      <c r="C5" s="8" t="n"/>
      <c r="D5" s="8" t="n"/>
      <c r="E5" s="9">
        <f>IF(C5&gt;0,D5/C5,"")</f>
        <v/>
      </c>
      <c r="F5" s="8" t="n"/>
      <c r="G5" s="10">
        <f>IF(C5&gt;0,F5*60/C5,"")</f>
        <v/>
      </c>
      <c r="H5" s="8" t="n"/>
    </row>
    <row r="6">
      <c r="A6" s="3" t="n"/>
      <c r="B6" s="4" t="n"/>
      <c r="C6" s="4" t="n"/>
      <c r="D6" s="4" t="n"/>
      <c r="E6" s="5">
        <f>IF(C6&gt;0,D6/C6,"")</f>
        <v/>
      </c>
      <c r="F6" s="4" t="n"/>
      <c r="G6" s="6">
        <f>IF(C6&gt;0,F6*60/C6,"")</f>
        <v/>
      </c>
      <c r="H6" s="4" t="n"/>
    </row>
    <row r="7">
      <c r="A7" s="7" t="n"/>
      <c r="B7" s="8" t="n"/>
      <c r="C7" s="8" t="n"/>
      <c r="D7" s="8" t="n"/>
      <c r="E7" s="9">
        <f>IF(C7&gt;0,D7/C7,"")</f>
        <v/>
      </c>
      <c r="F7" s="8" t="n"/>
      <c r="G7" s="10">
        <f>IF(C7&gt;0,F7*60/C7,"")</f>
        <v/>
      </c>
      <c r="H7" s="8" t="n"/>
    </row>
    <row r="8">
      <c r="A8" s="3" t="n"/>
      <c r="B8" s="4" t="n"/>
      <c r="C8" s="4" t="n"/>
      <c r="D8" s="4" t="n"/>
      <c r="E8" s="5">
        <f>IF(C8&gt;0,D8/C8,"")</f>
        <v/>
      </c>
      <c r="F8" s="4" t="n"/>
      <c r="G8" s="6">
        <f>IF(C8&gt;0,F8*60/C8,"")</f>
        <v/>
      </c>
      <c r="H8" s="4" t="n"/>
    </row>
    <row r="9">
      <c r="A9" s="7" t="n"/>
      <c r="B9" s="8" t="n"/>
      <c r="C9" s="8" t="n"/>
      <c r="D9" s="8" t="n"/>
      <c r="E9" s="9">
        <f>IF(C9&gt;0,D9/C9,"")</f>
        <v/>
      </c>
      <c r="F9" s="8" t="n"/>
      <c r="G9" s="10">
        <f>IF(C9&gt;0,F9*60/C9,"")</f>
        <v/>
      </c>
      <c r="H9" s="8" t="n"/>
    </row>
    <row r="10">
      <c r="A10" s="3" t="n"/>
      <c r="B10" s="4" t="n"/>
      <c r="C10" s="4" t="n"/>
      <c r="D10" s="4" t="n"/>
      <c r="E10" s="5">
        <f>IF(C10&gt;0,D10/C10,"")</f>
        <v/>
      </c>
      <c r="F10" s="4" t="n"/>
      <c r="G10" s="6">
        <f>IF(C10&gt;0,F10*60/C10,"")</f>
        <v/>
      </c>
      <c r="H10" s="4" t="n"/>
    </row>
    <row r="11">
      <c r="A11" s="7" t="n"/>
      <c r="B11" s="8" t="n"/>
      <c r="C11" s="8" t="n"/>
      <c r="D11" s="8" t="n"/>
      <c r="E11" s="9">
        <f>IF(C11&gt;0,D11/C11,"")</f>
        <v/>
      </c>
      <c r="F11" s="8" t="n"/>
      <c r="G11" s="10">
        <f>IF(C11&gt;0,F11*60/C11,"")</f>
        <v/>
      </c>
      <c r="H11" s="8" t="n"/>
    </row>
    <row r="12">
      <c r="A12" s="3" t="n"/>
      <c r="B12" s="4" t="n"/>
      <c r="C12" s="4" t="n"/>
      <c r="D12" s="4" t="n"/>
      <c r="E12" s="5">
        <f>IF(C12&gt;0,D12/C12,"")</f>
        <v/>
      </c>
      <c r="F12" s="4" t="n"/>
      <c r="G12" s="6">
        <f>IF(C12&gt;0,F12*60/C12,"")</f>
        <v/>
      </c>
      <c r="H12" s="4" t="n"/>
    </row>
    <row r="13">
      <c r="A13" s="7" t="n"/>
      <c r="B13" s="8" t="n"/>
      <c r="C13" s="8" t="n"/>
      <c r="D13" s="8" t="n"/>
      <c r="E13" s="9">
        <f>IF(C13&gt;0,D13/C13,"")</f>
        <v/>
      </c>
      <c r="F13" s="8" t="n"/>
      <c r="G13" s="10">
        <f>IF(C13&gt;0,F13*60/C13,"")</f>
        <v/>
      </c>
      <c r="H13" s="8" t="n"/>
    </row>
    <row r="14">
      <c r="A14" s="3" t="n"/>
      <c r="B14" s="4" t="n"/>
      <c r="C14" s="4" t="n"/>
      <c r="D14" s="4" t="n"/>
      <c r="E14" s="5">
        <f>IF(C14&gt;0,D14/C14,"")</f>
        <v/>
      </c>
      <c r="F14" s="4" t="n"/>
      <c r="G14" s="6">
        <f>IF(C14&gt;0,F14*60/C14,"")</f>
        <v/>
      </c>
      <c r="H14" s="4" t="n"/>
    </row>
    <row r="15">
      <c r="A15" s="7" t="n"/>
      <c r="B15" s="8" t="n"/>
      <c r="C15" s="8" t="n"/>
      <c r="D15" s="8" t="n"/>
      <c r="E15" s="9">
        <f>IF(C15&gt;0,D15/C15,"")</f>
        <v/>
      </c>
      <c r="F15" s="8" t="n"/>
      <c r="G15" s="10">
        <f>IF(C15&gt;0,F15*60/C15,"")</f>
        <v/>
      </c>
      <c r="H15" s="8" t="n"/>
    </row>
    <row r="16">
      <c r="A16" s="3" t="n"/>
      <c r="B16" s="4" t="n"/>
      <c r="C16" s="4" t="n"/>
      <c r="D16" s="4" t="n"/>
      <c r="E16" s="5">
        <f>IF(C16&gt;0,D16/C16,"")</f>
        <v/>
      </c>
      <c r="F16" s="4" t="n"/>
      <c r="G16" s="6">
        <f>IF(C16&gt;0,F16*60/C16,"")</f>
        <v/>
      </c>
      <c r="H16" s="4" t="n"/>
    </row>
    <row r="17">
      <c r="A17" s="7" t="n"/>
      <c r="B17" s="8" t="n"/>
      <c r="C17" s="8" t="n"/>
      <c r="D17" s="8" t="n"/>
      <c r="E17" s="9">
        <f>IF(C17&gt;0,D17/C17,"")</f>
        <v/>
      </c>
      <c r="F17" s="8" t="n"/>
      <c r="G17" s="10">
        <f>IF(C17&gt;0,F17*60/C17,"")</f>
        <v/>
      </c>
      <c r="H17" s="8" t="n"/>
    </row>
    <row r="18">
      <c r="A18" s="3" t="n"/>
      <c r="B18" s="4" t="n"/>
      <c r="C18" s="4" t="n"/>
      <c r="D18" s="4" t="n"/>
      <c r="E18" s="5">
        <f>IF(C18&gt;0,D18/C18,"")</f>
        <v/>
      </c>
      <c r="F18" s="4" t="n"/>
      <c r="G18" s="6">
        <f>IF(C18&gt;0,F18*60/C18,"")</f>
        <v/>
      </c>
      <c r="H18" s="4" t="n"/>
    </row>
    <row r="19">
      <c r="A19" s="7" t="n"/>
      <c r="B19" s="8" t="n"/>
      <c r="C19" s="8" t="n"/>
      <c r="D19" s="8" t="n"/>
      <c r="E19" s="9">
        <f>IF(C19&gt;0,D19/C19,"")</f>
        <v/>
      </c>
      <c r="F19" s="8" t="n"/>
      <c r="G19" s="10">
        <f>IF(C19&gt;0,F19*60/C19,"")</f>
        <v/>
      </c>
      <c r="H19" s="8" t="n"/>
    </row>
    <row r="20">
      <c r="A20" s="3" t="n"/>
      <c r="B20" s="4" t="n"/>
      <c r="C20" s="4" t="n"/>
      <c r="D20" s="4" t="n"/>
      <c r="E20" s="5">
        <f>IF(C20&gt;0,D20/C20,"")</f>
        <v/>
      </c>
      <c r="F20" s="4" t="n"/>
      <c r="G20" s="6">
        <f>IF(C20&gt;0,F20*60/C20,"")</f>
        <v/>
      </c>
      <c r="H20" s="4" t="n"/>
    </row>
    <row r="21">
      <c r="A21" s="7" t="n"/>
      <c r="B21" s="8" t="n"/>
      <c r="C21" s="8" t="n"/>
      <c r="D21" s="8" t="n"/>
      <c r="E21" s="9">
        <f>IF(C21&gt;0,D21/C21,"")</f>
        <v/>
      </c>
      <c r="F21" s="8" t="n"/>
      <c r="G21" s="10">
        <f>IF(C21&gt;0,F21*60/C21,"")</f>
        <v/>
      </c>
      <c r="H21" s="8" t="n"/>
    </row>
    <row r="22">
      <c r="A22" s="3" t="n"/>
      <c r="B22" s="4" t="n"/>
      <c r="C22" s="4" t="n"/>
      <c r="D22" s="4" t="n"/>
      <c r="E22" s="5">
        <f>IF(C22&gt;0,D22/C22,"")</f>
        <v/>
      </c>
      <c r="F22" s="4" t="n"/>
      <c r="G22" s="6">
        <f>IF(C22&gt;0,F22*60/C22,"")</f>
        <v/>
      </c>
      <c r="H22" s="4" t="n"/>
    </row>
    <row r="23">
      <c r="A23" s="7" t="n"/>
      <c r="B23" s="8" t="n"/>
      <c r="C23" s="8" t="n"/>
      <c r="D23" s="8" t="n"/>
      <c r="E23" s="9">
        <f>IF(C23&gt;0,D23/C23,"")</f>
        <v/>
      </c>
      <c r="F23" s="8" t="n"/>
      <c r="G23" s="10">
        <f>IF(C23&gt;0,F23*60/C23,"")</f>
        <v/>
      </c>
      <c r="H23" s="8" t="n"/>
    </row>
    <row r="24">
      <c r="A24" s="3" t="n"/>
      <c r="B24" s="4" t="n"/>
      <c r="C24" s="4" t="n"/>
      <c r="D24" s="4" t="n"/>
      <c r="E24" s="5">
        <f>IF(C24&gt;0,D24/C24,"")</f>
        <v/>
      </c>
      <c r="F24" s="4" t="n"/>
      <c r="G24" s="6">
        <f>IF(C24&gt;0,F24*60/C24,"")</f>
        <v/>
      </c>
      <c r="H24" s="4" t="n"/>
    </row>
    <row r="25">
      <c r="A25" s="7" t="n"/>
      <c r="B25" s="8" t="n"/>
      <c r="C25" s="8" t="n"/>
      <c r="D25" s="8" t="n"/>
      <c r="E25" s="9">
        <f>IF(C25&gt;0,D25/C25,"")</f>
        <v/>
      </c>
      <c r="F25" s="8" t="n"/>
      <c r="G25" s="10">
        <f>IF(C25&gt;0,F25*60/C25,"")</f>
        <v/>
      </c>
      <c r="H25" s="8" t="n"/>
    </row>
    <row r="26">
      <c r="A26" s="3" t="n"/>
      <c r="B26" s="4" t="n"/>
      <c r="C26" s="4" t="n"/>
      <c r="D26" s="4" t="n"/>
      <c r="E26" s="5">
        <f>IF(C26&gt;0,D26/C26,"")</f>
        <v/>
      </c>
      <c r="F26" s="4" t="n"/>
      <c r="G26" s="6">
        <f>IF(C26&gt;0,F26*60/C26,"")</f>
        <v/>
      </c>
      <c r="H26" s="4" t="n"/>
    </row>
    <row r="27">
      <c r="A27" s="7" t="n"/>
      <c r="B27" s="8" t="n"/>
      <c r="C27" s="8" t="n"/>
      <c r="D27" s="8" t="n"/>
      <c r="E27" s="9">
        <f>IF(C27&gt;0,D27/C27,"")</f>
        <v/>
      </c>
      <c r="F27" s="8" t="n"/>
      <c r="G27" s="10">
        <f>IF(C27&gt;0,F27*60/C27,"")</f>
        <v/>
      </c>
      <c r="H27" s="8" t="n"/>
    </row>
    <row r="28">
      <c r="A28" s="3" t="n"/>
      <c r="B28" s="4" t="n"/>
      <c r="C28" s="4" t="n"/>
      <c r="D28" s="4" t="n"/>
      <c r="E28" s="5">
        <f>IF(C28&gt;0,D28/C28,"")</f>
        <v/>
      </c>
      <c r="F28" s="4" t="n"/>
      <c r="G28" s="6">
        <f>IF(C28&gt;0,F28*60/C28,"")</f>
        <v/>
      </c>
      <c r="H28" s="4" t="n"/>
    </row>
    <row r="29">
      <c r="A29" s="7" t="n"/>
      <c r="B29" s="8" t="n"/>
      <c r="C29" s="8" t="n"/>
      <c r="D29" s="8" t="n"/>
      <c r="E29" s="9">
        <f>IF(C29&gt;0,D29/C29,"")</f>
        <v/>
      </c>
      <c r="F29" s="8" t="n"/>
      <c r="G29" s="10">
        <f>IF(C29&gt;0,F29*60/C29,"")</f>
        <v/>
      </c>
      <c r="H29" s="8" t="n"/>
    </row>
    <row r="30">
      <c r="A30" s="3" t="n"/>
      <c r="B30" s="4" t="n"/>
      <c r="C30" s="4" t="n"/>
      <c r="D30" s="4" t="n"/>
      <c r="E30" s="5">
        <f>IF(C30&gt;0,D30/C30,"")</f>
        <v/>
      </c>
      <c r="F30" s="4" t="n"/>
      <c r="G30" s="6">
        <f>IF(C30&gt;0,F30*60/C30,"")</f>
        <v/>
      </c>
      <c r="H30" s="4" t="n"/>
    </row>
    <row r="31">
      <c r="A31" s="7" t="n"/>
      <c r="B31" s="8" t="n"/>
      <c r="C31" s="8" t="n"/>
      <c r="D31" s="8" t="n"/>
      <c r="E31" s="9">
        <f>IF(C31&gt;0,D31/C31,"")</f>
        <v/>
      </c>
      <c r="F31" s="8" t="n"/>
      <c r="G31" s="10">
        <f>IF(C31&gt;0,F31*60/C31,"")</f>
        <v/>
      </c>
      <c r="H31" s="8" t="n"/>
    </row>
    <row r="32">
      <c r="A32" s="3" t="n"/>
      <c r="B32" s="4" t="n"/>
      <c r="C32" s="4" t="n"/>
      <c r="D32" s="4" t="n"/>
      <c r="E32" s="5">
        <f>IF(C32&gt;0,D32/C32,"")</f>
        <v/>
      </c>
      <c r="F32" s="4" t="n"/>
      <c r="G32" s="6">
        <f>IF(C32&gt;0,F32*60/C32,"")</f>
        <v/>
      </c>
      <c r="H32" s="4" t="n"/>
    </row>
    <row r="33">
      <c r="A33" s="7" t="n"/>
      <c r="B33" s="8" t="n"/>
      <c r="C33" s="8" t="n"/>
      <c r="D33" s="8" t="n"/>
      <c r="E33" s="9">
        <f>IF(C33&gt;0,D33/C33,"")</f>
        <v/>
      </c>
      <c r="F33" s="8" t="n"/>
      <c r="G33" s="10">
        <f>IF(C33&gt;0,F33*60/C33,"")</f>
        <v/>
      </c>
      <c r="H33" s="8" t="n"/>
    </row>
    <row r="34">
      <c r="A34" s="3" t="n"/>
      <c r="B34" s="4" t="n"/>
      <c r="C34" s="4" t="n"/>
      <c r="D34" s="4" t="n"/>
      <c r="E34" s="5">
        <f>IF(C34&gt;0,D34/C34,"")</f>
        <v/>
      </c>
      <c r="F34" s="4" t="n"/>
      <c r="G34" s="6">
        <f>IF(C34&gt;0,F34*60/C34,"")</f>
        <v/>
      </c>
      <c r="H34" s="4" t="n"/>
    </row>
    <row r="35">
      <c r="A35" s="7" t="n"/>
      <c r="B35" s="8" t="n"/>
      <c r="C35" s="8" t="n"/>
      <c r="D35" s="8" t="n"/>
      <c r="E35" s="9">
        <f>IF(C35&gt;0,D35/C35,"")</f>
        <v/>
      </c>
      <c r="F35" s="8" t="n"/>
      <c r="G35" s="10">
        <f>IF(C35&gt;0,F35*60/C35,"")</f>
        <v/>
      </c>
      <c r="H35" s="8" t="n"/>
    </row>
    <row r="36">
      <c r="A36" s="3" t="n"/>
      <c r="B36" s="4" t="n"/>
      <c r="C36" s="4" t="n"/>
      <c r="D36" s="4" t="n"/>
      <c r="E36" s="5">
        <f>IF(C36&gt;0,D36/C36,"")</f>
        <v/>
      </c>
      <c r="F36" s="4" t="n"/>
      <c r="G36" s="6">
        <f>IF(C36&gt;0,F36*60/C36,"")</f>
        <v/>
      </c>
      <c r="H36" s="4" t="n"/>
    </row>
    <row r="37">
      <c r="A37" s="7" t="n"/>
      <c r="B37" s="8" t="n"/>
      <c r="C37" s="8" t="n"/>
      <c r="D37" s="8" t="n"/>
      <c r="E37" s="9">
        <f>IF(C37&gt;0,D37/C37,"")</f>
        <v/>
      </c>
      <c r="F37" s="8" t="n"/>
      <c r="G37" s="10">
        <f>IF(C37&gt;0,F37*60/C37,"")</f>
        <v/>
      </c>
      <c r="H37" s="8" t="n"/>
    </row>
    <row r="38">
      <c r="A38" s="3" t="n"/>
      <c r="B38" s="4" t="n"/>
      <c r="C38" s="4" t="n"/>
      <c r="D38" s="4" t="n"/>
      <c r="E38" s="5">
        <f>IF(C38&gt;0,D38/C38,"")</f>
        <v/>
      </c>
      <c r="F38" s="4" t="n"/>
      <c r="G38" s="6">
        <f>IF(C38&gt;0,F38*60/C38,"")</f>
        <v/>
      </c>
      <c r="H38" s="4" t="n"/>
    </row>
    <row r="39">
      <c r="A39" s="7" t="n"/>
      <c r="B39" s="8" t="n"/>
      <c r="C39" s="8" t="n"/>
      <c r="D39" s="8" t="n"/>
      <c r="E39" s="9">
        <f>IF(C39&gt;0,D39/C39,"")</f>
        <v/>
      </c>
      <c r="F39" s="8" t="n"/>
      <c r="G39" s="10">
        <f>IF(C39&gt;0,F39*60/C39,"")</f>
        <v/>
      </c>
      <c r="H39" s="8" t="n"/>
    </row>
    <row r="40">
      <c r="A40" s="3" t="n"/>
      <c r="B40" s="4" t="n"/>
      <c r="C40" s="4" t="n"/>
      <c r="D40" s="4" t="n"/>
      <c r="E40" s="5">
        <f>IF(C40&gt;0,D40/C40,"")</f>
        <v/>
      </c>
      <c r="F40" s="4" t="n"/>
      <c r="G40" s="6">
        <f>IF(C40&gt;0,F40*60/C40,"")</f>
        <v/>
      </c>
      <c r="H40" s="4" t="n"/>
    </row>
    <row r="41">
      <c r="A41" s="7" t="n"/>
      <c r="B41" s="8" t="n"/>
      <c r="C41" s="8" t="n"/>
      <c r="D41" s="8" t="n"/>
      <c r="E41" s="9">
        <f>IF(C41&gt;0,D41/C41,"")</f>
        <v/>
      </c>
      <c r="F41" s="8" t="n"/>
      <c r="G41" s="10">
        <f>IF(C41&gt;0,F41*60/C41,"")</f>
        <v/>
      </c>
      <c r="H41" s="8" t="n"/>
    </row>
    <row r="42">
      <c r="A42" s="3" t="n"/>
      <c r="B42" s="4" t="n"/>
      <c r="C42" s="4" t="n"/>
      <c r="D42" s="4" t="n"/>
      <c r="E42" s="5">
        <f>IF(C42&gt;0,D42/C42,"")</f>
        <v/>
      </c>
      <c r="F42" s="4" t="n"/>
      <c r="G42" s="6">
        <f>IF(C42&gt;0,F42*60/C42,"")</f>
        <v/>
      </c>
      <c r="H42" s="4" t="n"/>
    </row>
    <row r="43">
      <c r="A43" s="7" t="n"/>
      <c r="B43" s="8" t="n"/>
      <c r="C43" s="8" t="n"/>
      <c r="D43" s="8" t="n"/>
      <c r="E43" s="9">
        <f>IF(C43&gt;0,D43/C43,"")</f>
        <v/>
      </c>
      <c r="F43" s="8" t="n"/>
      <c r="G43" s="10">
        <f>IF(C43&gt;0,F43*60/C43,"")</f>
        <v/>
      </c>
      <c r="H43" s="8" t="n"/>
    </row>
    <row r="44">
      <c r="A44" s="3" t="n"/>
      <c r="B44" s="4" t="n"/>
      <c r="C44" s="4" t="n"/>
      <c r="D44" s="4" t="n"/>
      <c r="E44" s="5">
        <f>IF(C44&gt;0,D44/C44,"")</f>
        <v/>
      </c>
      <c r="F44" s="4" t="n"/>
      <c r="G44" s="6">
        <f>IF(C44&gt;0,F44*60/C44,"")</f>
        <v/>
      </c>
      <c r="H44" s="4" t="n"/>
    </row>
    <row r="45">
      <c r="A45" s="7" t="n"/>
      <c r="B45" s="8" t="n"/>
      <c r="C45" s="8" t="n"/>
      <c r="D45" s="8" t="n"/>
      <c r="E45" s="9">
        <f>IF(C45&gt;0,D45/C45,"")</f>
        <v/>
      </c>
      <c r="F45" s="8" t="n"/>
      <c r="G45" s="10">
        <f>IF(C45&gt;0,F45*60/C45,"")</f>
        <v/>
      </c>
      <c r="H45" s="8" t="n"/>
    </row>
    <row r="46">
      <c r="A46" s="3" t="n"/>
      <c r="B46" s="4" t="n"/>
      <c r="C46" s="4" t="n"/>
      <c r="D46" s="4" t="n"/>
      <c r="E46" s="5">
        <f>IF(C46&gt;0,D46/C46,"")</f>
        <v/>
      </c>
      <c r="F46" s="4" t="n"/>
      <c r="G46" s="6">
        <f>IF(C46&gt;0,F46*60/C46,"")</f>
        <v/>
      </c>
      <c r="H46" s="4" t="n"/>
    </row>
    <row r="47">
      <c r="A47" s="7" t="n"/>
      <c r="B47" s="8" t="n"/>
      <c r="C47" s="8" t="n"/>
      <c r="D47" s="8" t="n"/>
      <c r="E47" s="9">
        <f>IF(C47&gt;0,D47/C47,"")</f>
        <v/>
      </c>
      <c r="F47" s="8" t="n"/>
      <c r="G47" s="10">
        <f>IF(C47&gt;0,F47*60/C47,"")</f>
        <v/>
      </c>
      <c r="H47" s="8" t="n"/>
    </row>
    <row r="48">
      <c r="A48" s="3" t="n"/>
      <c r="B48" s="4" t="n"/>
      <c r="C48" s="4" t="n"/>
      <c r="D48" s="4" t="n"/>
      <c r="E48" s="5">
        <f>IF(C48&gt;0,D48/C48,"")</f>
        <v/>
      </c>
      <c r="F48" s="4" t="n"/>
      <c r="G48" s="6">
        <f>IF(C48&gt;0,F48*60/C48,"")</f>
        <v/>
      </c>
      <c r="H48" s="4" t="n"/>
    </row>
    <row r="49">
      <c r="A49" s="7" t="n"/>
      <c r="B49" s="8" t="n"/>
      <c r="C49" s="8" t="n"/>
      <c r="D49" s="8" t="n"/>
      <c r="E49" s="9">
        <f>IF(C49&gt;0,D49/C49,"")</f>
        <v/>
      </c>
      <c r="F49" s="8" t="n"/>
      <c r="G49" s="10">
        <f>IF(C49&gt;0,F49*60/C49,"")</f>
        <v/>
      </c>
      <c r="H49" s="8" t="n"/>
    </row>
    <row r="50">
      <c r="A50" s="3" t="n"/>
      <c r="B50" s="4" t="n"/>
      <c r="C50" s="4" t="n"/>
      <c r="D50" s="4" t="n"/>
      <c r="E50" s="5">
        <f>IF(C50&gt;0,D50/C50,"")</f>
        <v/>
      </c>
      <c r="F50" s="4" t="n"/>
      <c r="G50" s="6">
        <f>IF(C50&gt;0,F50*60/C50,"")</f>
        <v/>
      </c>
      <c r="H50" s="4" t="n"/>
    </row>
    <row r="51">
      <c r="A51" s="7" t="n"/>
      <c r="B51" s="8" t="n"/>
      <c r="C51" s="8" t="n"/>
      <c r="D51" s="8" t="n"/>
      <c r="E51" s="9">
        <f>IF(C51&gt;0,D51/C51,"")</f>
        <v/>
      </c>
      <c r="F51" s="8" t="n"/>
      <c r="G51" s="10">
        <f>IF(C51&gt;0,F51*60/C51,"")</f>
        <v/>
      </c>
      <c r="H51" s="8" t="n"/>
    </row>
    <row r="52">
      <c r="A52" s="3" t="n"/>
      <c r="B52" s="4" t="n"/>
      <c r="C52" s="4" t="n"/>
      <c r="D52" s="4" t="n"/>
      <c r="E52" s="5">
        <f>IF(C52&gt;0,D52/C52,"")</f>
        <v/>
      </c>
      <c r="F52" s="4" t="n"/>
      <c r="G52" s="6">
        <f>IF(C52&gt;0,F52*60/C52,"")</f>
        <v/>
      </c>
      <c r="H52" s="4" t="n"/>
    </row>
    <row r="53">
      <c r="A53" s="7" t="n"/>
      <c r="B53" s="8" t="n"/>
      <c r="C53" s="8" t="n"/>
      <c r="D53" s="8" t="n"/>
      <c r="E53" s="9">
        <f>IF(C53&gt;0,D53/C53,"")</f>
        <v/>
      </c>
      <c r="F53" s="8" t="n"/>
      <c r="G53" s="10">
        <f>IF(C53&gt;0,F53*60/C53,"")</f>
        <v/>
      </c>
      <c r="H53" s="8" t="n"/>
    </row>
    <row r="54">
      <c r="A54" s="3" t="n"/>
      <c r="B54" s="4" t="n"/>
      <c r="C54" s="4" t="n"/>
      <c r="D54" s="4" t="n"/>
      <c r="E54" s="5">
        <f>IF(C54&gt;0,D54/C54,"")</f>
        <v/>
      </c>
      <c r="F54" s="4" t="n"/>
      <c r="G54" s="6">
        <f>IF(C54&gt;0,F54*60/C54,"")</f>
        <v/>
      </c>
      <c r="H54" s="4" t="n"/>
    </row>
    <row r="55">
      <c r="A55" s="7" t="n"/>
      <c r="B55" s="8" t="n"/>
      <c r="C55" s="8" t="n"/>
      <c r="D55" s="8" t="n"/>
      <c r="E55" s="9">
        <f>IF(C55&gt;0,D55/C55,"")</f>
        <v/>
      </c>
      <c r="F55" s="8" t="n"/>
      <c r="G55" s="10">
        <f>IF(C55&gt;0,F55*60/C55,"")</f>
        <v/>
      </c>
      <c r="H55" s="8" t="n"/>
    </row>
    <row r="56">
      <c r="A56" s="3" t="n"/>
      <c r="B56" s="4" t="n"/>
      <c r="C56" s="4" t="n"/>
      <c r="D56" s="4" t="n"/>
      <c r="E56" s="5">
        <f>IF(C56&gt;0,D56/C56,"")</f>
        <v/>
      </c>
      <c r="F56" s="4" t="n"/>
      <c r="G56" s="6">
        <f>IF(C56&gt;0,F56*60/C56,"")</f>
        <v/>
      </c>
      <c r="H56" s="4" t="n"/>
    </row>
    <row r="57">
      <c r="A57" s="7" t="n"/>
      <c r="B57" s="8" t="n"/>
      <c r="C57" s="8" t="n"/>
      <c r="D57" s="8" t="n"/>
      <c r="E57" s="9">
        <f>IF(C57&gt;0,D57/C57,"")</f>
        <v/>
      </c>
      <c r="F57" s="8" t="n"/>
      <c r="G57" s="10">
        <f>IF(C57&gt;0,F57*60/C57,"")</f>
        <v/>
      </c>
      <c r="H57" s="8" t="n"/>
    </row>
    <row r="58">
      <c r="A58" s="3" t="n"/>
      <c r="B58" s="4" t="n"/>
      <c r="C58" s="4" t="n"/>
      <c r="D58" s="4" t="n"/>
      <c r="E58" s="5">
        <f>IF(C58&gt;0,D58/C58,"")</f>
        <v/>
      </c>
      <c r="F58" s="4" t="n"/>
      <c r="G58" s="6">
        <f>IF(C58&gt;0,F58*60/C58,"")</f>
        <v/>
      </c>
      <c r="H58" s="4" t="n"/>
    </row>
    <row r="59">
      <c r="A59" s="7" t="n"/>
      <c r="B59" s="8" t="n"/>
      <c r="C59" s="8" t="n"/>
      <c r="D59" s="8" t="n"/>
      <c r="E59" s="9">
        <f>IF(C59&gt;0,D59/C59,"")</f>
        <v/>
      </c>
      <c r="F59" s="8" t="n"/>
      <c r="G59" s="10">
        <f>IF(C59&gt;0,F59*60/C59,"")</f>
        <v/>
      </c>
      <c r="H59" s="8" t="n"/>
    </row>
    <row r="60">
      <c r="A60" s="3" t="n"/>
      <c r="B60" s="4" t="n"/>
      <c r="C60" s="4" t="n"/>
      <c r="D60" s="4" t="n"/>
      <c r="E60" s="5">
        <f>IF(C60&gt;0,D60/C60,"")</f>
        <v/>
      </c>
      <c r="F60" s="4" t="n"/>
      <c r="G60" s="6">
        <f>IF(C60&gt;0,F60*60/C60,"")</f>
        <v/>
      </c>
      <c r="H60" s="4" t="n"/>
    </row>
    <row r="61">
      <c r="A61" s="7" t="n"/>
      <c r="B61" s="8" t="n"/>
      <c r="C61" s="8" t="n"/>
      <c r="D61" s="8" t="n"/>
      <c r="E61" s="9">
        <f>IF(C61&gt;0,D61/C61,"")</f>
        <v/>
      </c>
      <c r="F61" s="8" t="n"/>
      <c r="G61" s="10">
        <f>IF(C61&gt;0,F61*60/C61,"")</f>
        <v/>
      </c>
      <c r="H61" s="8" t="n"/>
    </row>
    <row r="62">
      <c r="A62" s="3" t="n"/>
      <c r="B62" s="4" t="n"/>
      <c r="C62" s="4" t="n"/>
      <c r="D62" s="4" t="n"/>
      <c r="E62" s="5">
        <f>IF(C62&gt;0,D62/C62,"")</f>
        <v/>
      </c>
      <c r="F62" s="4" t="n"/>
      <c r="G62" s="6">
        <f>IF(C62&gt;0,F62*60/C62,"")</f>
        <v/>
      </c>
      <c r="H62" s="4" t="n"/>
    </row>
    <row r="63">
      <c r="A63" s="7" t="n"/>
      <c r="B63" s="8" t="n"/>
      <c r="C63" s="8" t="n"/>
      <c r="D63" s="8" t="n"/>
      <c r="E63" s="9">
        <f>IF(C63&gt;0,D63/C63,"")</f>
        <v/>
      </c>
      <c r="F63" s="8" t="n"/>
      <c r="G63" s="10">
        <f>IF(C63&gt;0,F63*60/C63,"")</f>
        <v/>
      </c>
      <c r="H63" s="8" t="n"/>
    </row>
    <row r="64">
      <c r="A64" s="3" t="n"/>
      <c r="B64" s="4" t="n"/>
      <c r="C64" s="4" t="n"/>
      <c r="D64" s="4" t="n"/>
      <c r="E64" s="5">
        <f>IF(C64&gt;0,D64/C64,"")</f>
        <v/>
      </c>
      <c r="F64" s="4" t="n"/>
      <c r="G64" s="6">
        <f>IF(C64&gt;0,F64*60/C64,"")</f>
        <v/>
      </c>
      <c r="H64" s="4" t="n"/>
    </row>
    <row r="65">
      <c r="A65" s="7" t="n"/>
      <c r="B65" s="8" t="n"/>
      <c r="C65" s="8" t="n"/>
      <c r="D65" s="8" t="n"/>
      <c r="E65" s="9">
        <f>IF(C65&gt;0,D65/C65,"")</f>
        <v/>
      </c>
      <c r="F65" s="8" t="n"/>
      <c r="G65" s="10">
        <f>IF(C65&gt;0,F65*60/C65,"")</f>
        <v/>
      </c>
      <c r="H65" s="8" t="n"/>
    </row>
    <row r="66">
      <c r="A66" s="3" t="n"/>
      <c r="B66" s="4" t="n"/>
      <c r="C66" s="4" t="n"/>
      <c r="D66" s="4" t="n"/>
      <c r="E66" s="5">
        <f>IF(C66&gt;0,D66/C66,"")</f>
        <v/>
      </c>
      <c r="F66" s="4" t="n"/>
      <c r="G66" s="6">
        <f>IF(C66&gt;0,F66*60/C66,"")</f>
        <v/>
      </c>
      <c r="H66" s="4" t="n"/>
    </row>
    <row r="67">
      <c r="A67" s="7" t="n"/>
      <c r="B67" s="8" t="n"/>
      <c r="C67" s="8" t="n"/>
      <c r="D67" s="8" t="n"/>
      <c r="E67" s="9">
        <f>IF(C67&gt;0,D67/C67,"")</f>
        <v/>
      </c>
      <c r="F67" s="8" t="n"/>
      <c r="G67" s="10">
        <f>IF(C67&gt;0,F67*60/C67,"")</f>
        <v/>
      </c>
      <c r="H67" s="8" t="n"/>
    </row>
    <row r="68">
      <c r="A68" s="3" t="n"/>
      <c r="B68" s="4" t="n"/>
      <c r="C68" s="4" t="n"/>
      <c r="D68" s="4" t="n"/>
      <c r="E68" s="5">
        <f>IF(C68&gt;0,D68/C68,"")</f>
        <v/>
      </c>
      <c r="F68" s="4" t="n"/>
      <c r="G68" s="6">
        <f>IF(C68&gt;0,F68*60/C68,"")</f>
        <v/>
      </c>
      <c r="H68" s="4" t="n"/>
    </row>
    <row r="69">
      <c r="A69" s="7" t="n"/>
      <c r="B69" s="8" t="n"/>
      <c r="C69" s="8" t="n"/>
      <c r="D69" s="8" t="n"/>
      <c r="E69" s="9">
        <f>IF(C69&gt;0,D69/C69,"")</f>
        <v/>
      </c>
      <c r="F69" s="8" t="n"/>
      <c r="G69" s="10">
        <f>IF(C69&gt;0,F69*60/C69,"")</f>
        <v/>
      </c>
      <c r="H69" s="8" t="n"/>
    </row>
    <row r="70">
      <c r="A70" s="3" t="n"/>
      <c r="B70" s="4" t="n"/>
      <c r="C70" s="4" t="n"/>
      <c r="D70" s="4" t="n"/>
      <c r="E70" s="5">
        <f>IF(C70&gt;0,D70/C70,"")</f>
        <v/>
      </c>
      <c r="F70" s="4" t="n"/>
      <c r="G70" s="6">
        <f>IF(C70&gt;0,F70*60/C70,"")</f>
        <v/>
      </c>
      <c r="H70" s="4" t="n"/>
    </row>
    <row r="71">
      <c r="A71" s="7" t="n"/>
      <c r="B71" s="8" t="n"/>
      <c r="C71" s="8" t="n"/>
      <c r="D71" s="8" t="n"/>
      <c r="E71" s="9">
        <f>IF(C71&gt;0,D71/C71,"")</f>
        <v/>
      </c>
      <c r="F71" s="8" t="n"/>
      <c r="G71" s="10">
        <f>IF(C71&gt;0,F71*60/C71,"")</f>
        <v/>
      </c>
      <c r="H71" s="8" t="n"/>
    </row>
    <row r="72">
      <c r="A72" s="3" t="n"/>
      <c r="B72" s="4" t="n"/>
      <c r="C72" s="4" t="n"/>
      <c r="D72" s="4" t="n"/>
      <c r="E72" s="5">
        <f>IF(C72&gt;0,D72/C72,"")</f>
        <v/>
      </c>
      <c r="F72" s="4" t="n"/>
      <c r="G72" s="6">
        <f>IF(C72&gt;0,F72*60/C72,"")</f>
        <v/>
      </c>
      <c r="H72" s="4" t="n"/>
    </row>
    <row r="73">
      <c r="A73" s="7" t="n"/>
      <c r="B73" s="8" t="n"/>
      <c r="C73" s="8" t="n"/>
      <c r="D73" s="8" t="n"/>
      <c r="E73" s="9">
        <f>IF(C73&gt;0,D73/C73,"")</f>
        <v/>
      </c>
      <c r="F73" s="8" t="n"/>
      <c r="G73" s="10">
        <f>IF(C73&gt;0,F73*60/C73,"")</f>
        <v/>
      </c>
      <c r="H73" s="8" t="n"/>
    </row>
    <row r="74">
      <c r="A74" s="3" t="n"/>
      <c r="B74" s="4" t="n"/>
      <c r="C74" s="4" t="n"/>
      <c r="D74" s="4" t="n"/>
      <c r="E74" s="5">
        <f>IF(C74&gt;0,D74/C74,"")</f>
        <v/>
      </c>
      <c r="F74" s="4" t="n"/>
      <c r="G74" s="6">
        <f>IF(C74&gt;0,F74*60/C74,"")</f>
        <v/>
      </c>
      <c r="H74" s="4" t="n"/>
    </row>
    <row r="75">
      <c r="A75" s="7" t="n"/>
      <c r="B75" s="8" t="n"/>
      <c r="C75" s="8" t="n"/>
      <c r="D75" s="8" t="n"/>
      <c r="E75" s="9">
        <f>IF(C75&gt;0,D75/C75,"")</f>
        <v/>
      </c>
      <c r="F75" s="8" t="n"/>
      <c r="G75" s="10">
        <f>IF(C75&gt;0,F75*60/C75,"")</f>
        <v/>
      </c>
      <c r="H75" s="8" t="n"/>
    </row>
    <row r="76">
      <c r="A76" s="3" t="n"/>
      <c r="B76" s="4" t="n"/>
      <c r="C76" s="4" t="n"/>
      <c r="D76" s="4" t="n"/>
      <c r="E76" s="5">
        <f>IF(C76&gt;0,D76/C76,"")</f>
        <v/>
      </c>
      <c r="F76" s="4" t="n"/>
      <c r="G76" s="6">
        <f>IF(C76&gt;0,F76*60/C76,"")</f>
        <v/>
      </c>
      <c r="H76" s="4" t="n"/>
    </row>
    <row r="77">
      <c r="A77" s="7" t="n"/>
      <c r="B77" s="8" t="n"/>
      <c r="C77" s="8" t="n"/>
      <c r="D77" s="8" t="n"/>
      <c r="E77" s="9">
        <f>IF(C77&gt;0,D77/C77,"")</f>
        <v/>
      </c>
      <c r="F77" s="8" t="n"/>
      <c r="G77" s="10">
        <f>IF(C77&gt;0,F77*60/C77,"")</f>
        <v/>
      </c>
      <c r="H77" s="8" t="n"/>
    </row>
    <row r="78">
      <c r="A78" s="3" t="n"/>
      <c r="B78" s="4" t="n"/>
      <c r="C78" s="4" t="n"/>
      <c r="D78" s="4" t="n"/>
      <c r="E78" s="5">
        <f>IF(C78&gt;0,D78/C78,"")</f>
        <v/>
      </c>
      <c r="F78" s="4" t="n"/>
      <c r="G78" s="6">
        <f>IF(C78&gt;0,F78*60/C78,"")</f>
        <v/>
      </c>
      <c r="H78" s="4" t="n"/>
    </row>
    <row r="79">
      <c r="A79" s="7" t="n"/>
      <c r="B79" s="8" t="n"/>
      <c r="C79" s="8" t="n"/>
      <c r="D79" s="8" t="n"/>
      <c r="E79" s="9">
        <f>IF(C79&gt;0,D79/C79,"")</f>
        <v/>
      </c>
      <c r="F79" s="8" t="n"/>
      <c r="G79" s="10">
        <f>IF(C79&gt;0,F79*60/C79,"")</f>
        <v/>
      </c>
      <c r="H79" s="8" t="n"/>
    </row>
    <row r="80">
      <c r="A80" s="3" t="n"/>
      <c r="B80" s="4" t="n"/>
      <c r="C80" s="4" t="n"/>
      <c r="D80" s="4" t="n"/>
      <c r="E80" s="5">
        <f>IF(C80&gt;0,D80/C80,"")</f>
        <v/>
      </c>
      <c r="F80" s="4" t="n"/>
      <c r="G80" s="6">
        <f>IF(C80&gt;0,F80*60/C80,"")</f>
        <v/>
      </c>
      <c r="H80" s="4" t="n"/>
    </row>
    <row r="81">
      <c r="A81" s="7" t="n"/>
      <c r="B81" s="8" t="n"/>
      <c r="C81" s="8" t="n"/>
      <c r="D81" s="8" t="n"/>
      <c r="E81" s="9">
        <f>IF(C81&gt;0,D81/C81,"")</f>
        <v/>
      </c>
      <c r="F81" s="8" t="n"/>
      <c r="G81" s="10">
        <f>IF(C81&gt;0,F81*60/C81,"")</f>
        <v/>
      </c>
      <c r="H81" s="8" t="n"/>
    </row>
    <row r="82">
      <c r="A82" s="3" t="n"/>
      <c r="B82" s="4" t="n"/>
      <c r="C82" s="4" t="n"/>
      <c r="D82" s="4" t="n"/>
      <c r="E82" s="5">
        <f>IF(C82&gt;0,D82/C82,"")</f>
        <v/>
      </c>
      <c r="F82" s="4" t="n"/>
      <c r="G82" s="6">
        <f>IF(C82&gt;0,F82*60/C82,"")</f>
        <v/>
      </c>
      <c r="H82" s="4" t="n"/>
    </row>
    <row r="83">
      <c r="A83" s="7" t="n"/>
      <c r="B83" s="8" t="n"/>
      <c r="C83" s="8" t="n"/>
      <c r="D83" s="8" t="n"/>
      <c r="E83" s="9">
        <f>IF(C83&gt;0,D83/C83,"")</f>
        <v/>
      </c>
      <c r="F83" s="8" t="n"/>
      <c r="G83" s="10">
        <f>IF(C83&gt;0,F83*60/C83,"")</f>
        <v/>
      </c>
      <c r="H83" s="8" t="n"/>
    </row>
    <row r="84">
      <c r="A84" s="3" t="n"/>
      <c r="B84" s="4" t="n"/>
      <c r="C84" s="4" t="n"/>
      <c r="D84" s="4" t="n"/>
      <c r="E84" s="5">
        <f>IF(C84&gt;0,D84/C84,"")</f>
        <v/>
      </c>
      <c r="F84" s="4" t="n"/>
      <c r="G84" s="6">
        <f>IF(C84&gt;0,F84*60/C84,"")</f>
        <v/>
      </c>
      <c r="H84" s="4" t="n"/>
    </row>
    <row r="85">
      <c r="A85" s="7" t="n"/>
      <c r="B85" s="8" t="n"/>
      <c r="C85" s="8" t="n"/>
      <c r="D85" s="8" t="n"/>
      <c r="E85" s="9">
        <f>IF(C85&gt;0,D85/C85,"")</f>
        <v/>
      </c>
      <c r="F85" s="8" t="n"/>
      <c r="G85" s="10">
        <f>IF(C85&gt;0,F85*60/C85,"")</f>
        <v/>
      </c>
      <c r="H85" s="8" t="n"/>
    </row>
    <row r="86">
      <c r="A86" s="3" t="n"/>
      <c r="B86" s="4" t="n"/>
      <c r="C86" s="4" t="n"/>
      <c r="D86" s="4" t="n"/>
      <c r="E86" s="5">
        <f>IF(C86&gt;0,D86/C86,"")</f>
        <v/>
      </c>
      <c r="F86" s="4" t="n"/>
      <c r="G86" s="6">
        <f>IF(C86&gt;0,F86*60/C86,"")</f>
        <v/>
      </c>
      <c r="H86" s="4" t="n"/>
    </row>
    <row r="87">
      <c r="A87" s="7" t="n"/>
      <c r="B87" s="8" t="n"/>
      <c r="C87" s="8" t="n"/>
      <c r="D87" s="8" t="n"/>
      <c r="E87" s="9">
        <f>IF(C87&gt;0,D87/C87,"")</f>
        <v/>
      </c>
      <c r="F87" s="8" t="n"/>
      <c r="G87" s="10">
        <f>IF(C87&gt;0,F87*60/C87,"")</f>
        <v/>
      </c>
      <c r="H87" s="8" t="n"/>
    </row>
    <row r="88">
      <c r="A88" s="3" t="n"/>
      <c r="B88" s="4" t="n"/>
      <c r="C88" s="4" t="n"/>
      <c r="D88" s="4" t="n"/>
      <c r="E88" s="5">
        <f>IF(C88&gt;0,D88/C88,"")</f>
        <v/>
      </c>
      <c r="F88" s="4" t="n"/>
      <c r="G88" s="6">
        <f>IF(C88&gt;0,F88*60/C88,"")</f>
        <v/>
      </c>
      <c r="H88" s="4" t="n"/>
    </row>
    <row r="89">
      <c r="A89" s="7" t="n"/>
      <c r="B89" s="8" t="n"/>
      <c r="C89" s="8" t="n"/>
      <c r="D89" s="8" t="n"/>
      <c r="E89" s="9">
        <f>IF(C89&gt;0,D89/C89,"")</f>
        <v/>
      </c>
      <c r="F89" s="8" t="n"/>
      <c r="G89" s="10">
        <f>IF(C89&gt;0,F89*60/C89,"")</f>
        <v/>
      </c>
      <c r="H89" s="8" t="n"/>
    </row>
    <row r="90">
      <c r="A90" s="3" t="n"/>
      <c r="B90" s="4" t="n"/>
      <c r="C90" s="4" t="n"/>
      <c r="D90" s="4" t="n"/>
      <c r="E90" s="5">
        <f>IF(C90&gt;0,D90/C90,"")</f>
        <v/>
      </c>
      <c r="F90" s="4" t="n"/>
      <c r="G90" s="6">
        <f>IF(C90&gt;0,F90*60/C90,"")</f>
        <v/>
      </c>
      <c r="H90" s="4" t="n"/>
    </row>
    <row r="91">
      <c r="A91" s="7" t="n"/>
      <c r="B91" s="8" t="n"/>
      <c r="C91" s="8" t="n"/>
      <c r="D91" s="8" t="n"/>
      <c r="E91" s="9">
        <f>IF(C91&gt;0,D91/C91,"")</f>
        <v/>
      </c>
      <c r="F91" s="8" t="n"/>
      <c r="G91" s="10">
        <f>IF(C91&gt;0,F91*60/C91,"")</f>
        <v/>
      </c>
      <c r="H91" s="8" t="n"/>
    </row>
    <row r="92">
      <c r="A92" s="3" t="n"/>
      <c r="B92" s="4" t="n"/>
      <c r="C92" s="4" t="n"/>
      <c r="D92" s="4" t="n"/>
      <c r="E92" s="5">
        <f>IF(C92&gt;0,D92/C92,"")</f>
        <v/>
      </c>
      <c r="F92" s="4" t="n"/>
      <c r="G92" s="6">
        <f>IF(C92&gt;0,F92*60/C92,"")</f>
        <v/>
      </c>
      <c r="H92" s="4" t="n"/>
    </row>
    <row r="93">
      <c r="A93" s="7" t="n"/>
      <c r="B93" s="8" t="n"/>
      <c r="C93" s="8" t="n"/>
      <c r="D93" s="8" t="n"/>
      <c r="E93" s="9">
        <f>IF(C93&gt;0,D93/C93,"")</f>
        <v/>
      </c>
      <c r="F93" s="8" t="n"/>
      <c r="G93" s="10">
        <f>IF(C93&gt;0,F93*60/C93,"")</f>
        <v/>
      </c>
      <c r="H93" s="8" t="n"/>
    </row>
    <row r="94">
      <c r="A94" s="3" t="n"/>
      <c r="B94" s="4" t="n"/>
      <c r="C94" s="4" t="n"/>
      <c r="D94" s="4" t="n"/>
      <c r="E94" s="5">
        <f>IF(C94&gt;0,D94/C94,"")</f>
        <v/>
      </c>
      <c r="F94" s="4" t="n"/>
      <c r="G94" s="6">
        <f>IF(C94&gt;0,F94*60/C94,"")</f>
        <v/>
      </c>
      <c r="H94" s="4" t="n"/>
    </row>
    <row r="95">
      <c r="A95" s="7" t="n"/>
      <c r="B95" s="8" t="n"/>
      <c r="C95" s="8" t="n"/>
      <c r="D95" s="8" t="n"/>
      <c r="E95" s="9">
        <f>IF(C95&gt;0,D95/C95,"")</f>
        <v/>
      </c>
      <c r="F95" s="8" t="n"/>
      <c r="G95" s="10">
        <f>IF(C95&gt;0,F95*60/C95,"")</f>
        <v/>
      </c>
      <c r="H95" s="8" t="n"/>
    </row>
    <row r="96">
      <c r="A96" s="3" t="n"/>
      <c r="B96" s="4" t="n"/>
      <c r="C96" s="4" t="n"/>
      <c r="D96" s="4" t="n"/>
      <c r="E96" s="5">
        <f>IF(C96&gt;0,D96/C96,"")</f>
        <v/>
      </c>
      <c r="F96" s="4" t="n"/>
      <c r="G96" s="6">
        <f>IF(C96&gt;0,F96*60/C96,"")</f>
        <v/>
      </c>
      <c r="H96" s="4" t="n"/>
    </row>
    <row r="97">
      <c r="A97" s="7" t="n"/>
      <c r="B97" s="8" t="n"/>
      <c r="C97" s="8" t="n"/>
      <c r="D97" s="8" t="n"/>
      <c r="E97" s="9">
        <f>IF(C97&gt;0,D97/C97,"")</f>
        <v/>
      </c>
      <c r="F97" s="8" t="n"/>
      <c r="G97" s="10">
        <f>IF(C97&gt;0,F97*60/C97,"")</f>
        <v/>
      </c>
      <c r="H97" s="8" t="n"/>
    </row>
    <row r="98">
      <c r="A98" s="3" t="n"/>
      <c r="B98" s="4" t="n"/>
      <c r="C98" s="4" t="n"/>
      <c r="D98" s="4" t="n"/>
      <c r="E98" s="5">
        <f>IF(C98&gt;0,D98/C98,"")</f>
        <v/>
      </c>
      <c r="F98" s="4" t="n"/>
      <c r="G98" s="6">
        <f>IF(C98&gt;0,F98*60/C98,"")</f>
        <v/>
      </c>
      <c r="H98" s="4" t="n"/>
    </row>
    <row r="99">
      <c r="A99" s="7" t="n"/>
      <c r="B99" s="8" t="n"/>
      <c r="C99" s="8" t="n"/>
      <c r="D99" s="8" t="n"/>
      <c r="E99" s="9">
        <f>IF(C99&gt;0,D99/C99,"")</f>
        <v/>
      </c>
      <c r="F99" s="8" t="n"/>
      <c r="G99" s="10">
        <f>IF(C99&gt;0,F99*60/C99,"")</f>
        <v/>
      </c>
      <c r="H99" s="8" t="n"/>
    </row>
    <row r="100">
      <c r="A100" s="3" t="n"/>
      <c r="B100" s="4" t="n"/>
      <c r="C100" s="4" t="n"/>
      <c r="D100" s="4" t="n"/>
      <c r="E100" s="5">
        <f>IF(C100&gt;0,D100/C100,"")</f>
        <v/>
      </c>
      <c r="F100" s="4" t="n"/>
      <c r="G100" s="6">
        <f>IF(C100&gt;0,F100*60/C100,"")</f>
        <v/>
      </c>
      <c r="H100" s="4" t="n"/>
    </row>
    <row r="101">
      <c r="A101" s="7" t="n"/>
      <c r="B101" s="8" t="n"/>
      <c r="C101" s="8" t="n"/>
      <c r="D101" s="8" t="n"/>
      <c r="E101" s="9">
        <f>IF(C101&gt;0,D101/C101,"")</f>
        <v/>
      </c>
      <c r="F101" s="8" t="n"/>
      <c r="G101" s="10">
        <f>IF(C101&gt;0,F101*60/C101,"")</f>
        <v/>
      </c>
      <c r="H101" s="8" t="n"/>
    </row>
    <row r="102">
      <c r="A102" s="3" t="n"/>
      <c r="B102" s="4" t="n"/>
      <c r="C102" s="4" t="n"/>
      <c r="D102" s="4" t="n"/>
      <c r="E102" s="5">
        <f>IF(C102&gt;0,D102/C102,"")</f>
        <v/>
      </c>
      <c r="F102" s="4" t="n"/>
      <c r="G102" s="6">
        <f>IF(C102&gt;0,F102*60/C102,"")</f>
        <v/>
      </c>
      <c r="H102" s="4" t="n"/>
    </row>
    <row r="103">
      <c r="A103" s="7" t="n"/>
      <c r="B103" s="8" t="n"/>
      <c r="C103" s="8" t="n"/>
      <c r="D103" s="8" t="n"/>
      <c r="E103" s="9">
        <f>IF(C103&gt;0,D103/C103,"")</f>
        <v/>
      </c>
      <c r="F103" s="8" t="n"/>
      <c r="G103" s="10">
        <f>IF(C103&gt;0,F103*60/C103,"")</f>
        <v/>
      </c>
      <c r="H103" s="8" t="n"/>
    </row>
    <row r="104">
      <c r="A104" s="3" t="n"/>
      <c r="B104" s="4" t="n"/>
      <c r="C104" s="4" t="n"/>
      <c r="D104" s="4" t="n"/>
      <c r="E104" s="5">
        <f>IF(C104&gt;0,D104/C104,"")</f>
        <v/>
      </c>
      <c r="F104" s="4" t="n"/>
      <c r="G104" s="6">
        <f>IF(C104&gt;0,F104*60/C104,"")</f>
        <v/>
      </c>
      <c r="H104" s="4" t="n"/>
    </row>
    <row r="105">
      <c r="A105" s="7" t="n"/>
      <c r="B105" s="8" t="n"/>
      <c r="C105" s="8" t="n"/>
      <c r="D105" s="8" t="n"/>
      <c r="E105" s="9">
        <f>IF(C105&gt;0,D105/C105,"")</f>
        <v/>
      </c>
      <c r="F105" s="8" t="n"/>
      <c r="G105" s="10">
        <f>IF(C105&gt;0,F105*60/C105,"")</f>
        <v/>
      </c>
      <c r="H105" s="8" t="n"/>
    </row>
    <row r="106">
      <c r="A106" s="3" t="n"/>
      <c r="B106" s="4" t="n"/>
      <c r="C106" s="4" t="n"/>
      <c r="D106" s="4" t="n"/>
      <c r="E106" s="5">
        <f>IF(C106&gt;0,D106/C106,"")</f>
        <v/>
      </c>
      <c r="F106" s="4" t="n"/>
      <c r="G106" s="6">
        <f>IF(C106&gt;0,F106*60/C106,"")</f>
        <v/>
      </c>
      <c r="H106" s="4" t="n"/>
    </row>
    <row r="107">
      <c r="A107" s="7" t="n"/>
      <c r="B107" s="8" t="n"/>
      <c r="C107" s="8" t="n"/>
      <c r="D107" s="8" t="n"/>
      <c r="E107" s="9">
        <f>IF(C107&gt;0,D107/C107,"")</f>
        <v/>
      </c>
      <c r="F107" s="8" t="n"/>
      <c r="G107" s="10">
        <f>IF(C107&gt;0,F107*60/C107,"")</f>
        <v/>
      </c>
      <c r="H107" s="8" t="n"/>
    </row>
    <row r="108">
      <c r="A108" s="3" t="n"/>
      <c r="B108" s="4" t="n"/>
      <c r="C108" s="4" t="n"/>
      <c r="D108" s="4" t="n"/>
      <c r="E108" s="5">
        <f>IF(C108&gt;0,D108/C108,"")</f>
        <v/>
      </c>
      <c r="F108" s="4" t="n"/>
      <c r="G108" s="6">
        <f>IF(C108&gt;0,F108*60/C108,"")</f>
        <v/>
      </c>
      <c r="H108" s="4" t="n"/>
    </row>
    <row r="109">
      <c r="A109" s="7" t="n"/>
      <c r="B109" s="8" t="n"/>
      <c r="C109" s="8" t="n"/>
      <c r="D109" s="8" t="n"/>
      <c r="E109" s="9">
        <f>IF(C109&gt;0,D109/C109,"")</f>
        <v/>
      </c>
      <c r="F109" s="8" t="n"/>
      <c r="G109" s="10">
        <f>IF(C109&gt;0,F109*60/C109,"")</f>
        <v/>
      </c>
      <c r="H109" s="8" t="n"/>
    </row>
    <row r="110">
      <c r="A110" s="3" t="n"/>
      <c r="B110" s="4" t="n"/>
      <c r="C110" s="4" t="n"/>
      <c r="D110" s="4" t="n"/>
      <c r="E110" s="5">
        <f>IF(C110&gt;0,D110/C110,"")</f>
        <v/>
      </c>
      <c r="F110" s="4" t="n"/>
      <c r="G110" s="6">
        <f>IF(C110&gt;0,F110*60/C110,"")</f>
        <v/>
      </c>
      <c r="H110" s="4" t="n"/>
    </row>
    <row r="111">
      <c r="A111" s="7" t="n"/>
      <c r="B111" s="8" t="n"/>
      <c r="C111" s="8" t="n"/>
      <c r="D111" s="8" t="n"/>
      <c r="E111" s="9">
        <f>IF(C111&gt;0,D111/C111,"")</f>
        <v/>
      </c>
      <c r="F111" s="8" t="n"/>
      <c r="G111" s="10">
        <f>IF(C111&gt;0,F111*60/C111,"")</f>
        <v/>
      </c>
      <c r="H111" s="8" t="n"/>
    </row>
    <row r="112">
      <c r="A112" s="3" t="n"/>
      <c r="B112" s="4" t="n"/>
      <c r="C112" s="4" t="n"/>
      <c r="D112" s="4" t="n"/>
      <c r="E112" s="5">
        <f>IF(C112&gt;0,D112/C112,"")</f>
        <v/>
      </c>
      <c r="F112" s="4" t="n"/>
      <c r="G112" s="6">
        <f>IF(C112&gt;0,F112*60/C112,"")</f>
        <v/>
      </c>
      <c r="H112" s="4" t="n"/>
    </row>
    <row r="113">
      <c r="A113" s="7" t="n"/>
      <c r="B113" s="8" t="n"/>
      <c r="C113" s="8" t="n"/>
      <c r="D113" s="8" t="n"/>
      <c r="E113" s="9">
        <f>IF(C113&gt;0,D113/C113,"")</f>
        <v/>
      </c>
      <c r="F113" s="8" t="n"/>
      <c r="G113" s="10">
        <f>IF(C113&gt;0,F113*60/C113,"")</f>
        <v/>
      </c>
      <c r="H113" s="8" t="n"/>
    </row>
    <row r="114">
      <c r="A114" s="3" t="n"/>
      <c r="B114" s="4" t="n"/>
      <c r="C114" s="4" t="n"/>
      <c r="D114" s="4" t="n"/>
      <c r="E114" s="5">
        <f>IF(C114&gt;0,D114/C114,"")</f>
        <v/>
      </c>
      <c r="F114" s="4" t="n"/>
      <c r="G114" s="6">
        <f>IF(C114&gt;0,F114*60/C114,"")</f>
        <v/>
      </c>
      <c r="H114" s="4" t="n"/>
    </row>
    <row r="115">
      <c r="A115" s="7" t="n"/>
      <c r="B115" s="8" t="n"/>
      <c r="C115" s="8" t="n"/>
      <c r="D115" s="8" t="n"/>
      <c r="E115" s="9">
        <f>IF(C115&gt;0,D115/C115,"")</f>
        <v/>
      </c>
      <c r="F115" s="8" t="n"/>
      <c r="G115" s="10">
        <f>IF(C115&gt;0,F115*60/C115,"")</f>
        <v/>
      </c>
      <c r="H115" s="8" t="n"/>
    </row>
    <row r="116">
      <c r="A116" s="3" t="n"/>
      <c r="B116" s="4" t="n"/>
      <c r="C116" s="4" t="n"/>
      <c r="D116" s="4" t="n"/>
      <c r="E116" s="5">
        <f>IF(C116&gt;0,D116/C116,"")</f>
        <v/>
      </c>
      <c r="F116" s="4" t="n"/>
      <c r="G116" s="6">
        <f>IF(C116&gt;0,F116*60/C116,"")</f>
        <v/>
      </c>
      <c r="H116" s="4" t="n"/>
    </row>
    <row r="117">
      <c r="A117" s="7" t="n"/>
      <c r="B117" s="8" t="n"/>
      <c r="C117" s="8" t="n"/>
      <c r="D117" s="8" t="n"/>
      <c r="E117" s="9">
        <f>IF(C117&gt;0,D117/C117,"")</f>
        <v/>
      </c>
      <c r="F117" s="8" t="n"/>
      <c r="G117" s="10">
        <f>IF(C117&gt;0,F117*60/C117,"")</f>
        <v/>
      </c>
      <c r="H117" s="8" t="n"/>
    </row>
    <row r="118">
      <c r="A118" s="3" t="n"/>
      <c r="B118" s="4" t="n"/>
      <c r="C118" s="4" t="n"/>
      <c r="D118" s="4" t="n"/>
      <c r="E118" s="5">
        <f>IF(C118&gt;0,D118/C118,"")</f>
        <v/>
      </c>
      <c r="F118" s="4" t="n"/>
      <c r="G118" s="6">
        <f>IF(C118&gt;0,F118*60/C118,"")</f>
        <v/>
      </c>
      <c r="H118" s="4" t="n"/>
    </row>
    <row r="119">
      <c r="A119" s="7" t="n"/>
      <c r="B119" s="8" t="n"/>
      <c r="C119" s="8" t="n"/>
      <c r="D119" s="8" t="n"/>
      <c r="E119" s="9">
        <f>IF(C119&gt;0,D119/C119,"")</f>
        <v/>
      </c>
      <c r="F119" s="8" t="n"/>
      <c r="G119" s="10">
        <f>IF(C119&gt;0,F119*60/C119,"")</f>
        <v/>
      </c>
      <c r="H119" s="8" t="n"/>
    </row>
    <row r="120">
      <c r="A120" s="3" t="n"/>
      <c r="B120" s="4" t="n"/>
      <c r="C120" s="4" t="n"/>
      <c r="D120" s="4" t="n"/>
      <c r="E120" s="5">
        <f>IF(C120&gt;0,D120/C120,"")</f>
        <v/>
      </c>
      <c r="F120" s="4" t="n"/>
      <c r="G120" s="6">
        <f>IF(C120&gt;0,F120*60/C120,"")</f>
        <v/>
      </c>
      <c r="H120" s="4" t="n"/>
    </row>
    <row r="121">
      <c r="A121" s="7" t="n"/>
      <c r="B121" s="8" t="n"/>
      <c r="C121" s="8" t="n"/>
      <c r="D121" s="8" t="n"/>
      <c r="E121" s="9">
        <f>IF(C121&gt;0,D121/C121,"")</f>
        <v/>
      </c>
      <c r="F121" s="8" t="n"/>
      <c r="G121" s="10">
        <f>IF(C121&gt;0,F121*60/C121,"")</f>
        <v/>
      </c>
      <c r="H121" s="8" t="n"/>
    </row>
    <row r="122">
      <c r="A122" s="3" t="n"/>
      <c r="B122" s="4" t="n"/>
      <c r="C122" s="4" t="n"/>
      <c r="D122" s="4" t="n"/>
      <c r="E122" s="5">
        <f>IF(C122&gt;0,D122/C122,"")</f>
        <v/>
      </c>
      <c r="F122" s="4" t="n"/>
      <c r="G122" s="6">
        <f>IF(C122&gt;0,F122*60/C122,"")</f>
        <v/>
      </c>
      <c r="H122" s="4" t="n"/>
    </row>
    <row r="123">
      <c r="A123" s="7" t="n"/>
      <c r="B123" s="8" t="n"/>
      <c r="C123" s="8" t="n"/>
      <c r="D123" s="8" t="n"/>
      <c r="E123" s="9">
        <f>IF(C123&gt;0,D123/C123,"")</f>
        <v/>
      </c>
      <c r="F123" s="8" t="n"/>
      <c r="G123" s="10">
        <f>IF(C123&gt;0,F123*60/C123,"")</f>
        <v/>
      </c>
      <c r="H123" s="8" t="n"/>
    </row>
    <row r="124">
      <c r="A124" s="3" t="n"/>
      <c r="B124" s="4" t="n"/>
      <c r="C124" s="4" t="n"/>
      <c r="D124" s="4" t="n"/>
      <c r="E124" s="5">
        <f>IF(C124&gt;0,D124/C124,"")</f>
        <v/>
      </c>
      <c r="F124" s="4" t="n"/>
      <c r="G124" s="6">
        <f>IF(C124&gt;0,F124*60/C124,"")</f>
        <v/>
      </c>
      <c r="H124" s="4" t="n"/>
    </row>
    <row r="125">
      <c r="A125" s="7" t="n"/>
      <c r="B125" s="8" t="n"/>
      <c r="C125" s="8" t="n"/>
      <c r="D125" s="8" t="n"/>
      <c r="E125" s="9">
        <f>IF(C125&gt;0,D125/C125,"")</f>
        <v/>
      </c>
      <c r="F125" s="8" t="n"/>
      <c r="G125" s="10">
        <f>IF(C125&gt;0,F125*60/C125,"")</f>
        <v/>
      </c>
      <c r="H125" s="8" t="n"/>
    </row>
    <row r="126">
      <c r="A126" s="3" t="n"/>
      <c r="B126" s="4" t="n"/>
      <c r="C126" s="4" t="n"/>
      <c r="D126" s="4" t="n"/>
      <c r="E126" s="5">
        <f>IF(C126&gt;0,D126/C126,"")</f>
        <v/>
      </c>
      <c r="F126" s="4" t="n"/>
      <c r="G126" s="6">
        <f>IF(C126&gt;0,F126*60/C126,"")</f>
        <v/>
      </c>
      <c r="H126" s="4" t="n"/>
    </row>
    <row r="127">
      <c r="A127" s="7" t="n"/>
      <c r="B127" s="8" t="n"/>
      <c r="C127" s="8" t="n"/>
      <c r="D127" s="8" t="n"/>
      <c r="E127" s="9">
        <f>IF(C127&gt;0,D127/C127,"")</f>
        <v/>
      </c>
      <c r="F127" s="8" t="n"/>
      <c r="G127" s="10">
        <f>IF(C127&gt;0,F127*60/C127,"")</f>
        <v/>
      </c>
      <c r="H127" s="8" t="n"/>
    </row>
    <row r="128">
      <c r="A128" s="3" t="n"/>
      <c r="B128" s="4" t="n"/>
      <c r="C128" s="4" t="n"/>
      <c r="D128" s="4" t="n"/>
      <c r="E128" s="5">
        <f>IF(C128&gt;0,D128/C128,"")</f>
        <v/>
      </c>
      <c r="F128" s="4" t="n"/>
      <c r="G128" s="6">
        <f>IF(C128&gt;0,F128*60/C128,"")</f>
        <v/>
      </c>
      <c r="H128" s="4" t="n"/>
    </row>
    <row r="129">
      <c r="A129" s="7" t="n"/>
      <c r="B129" s="8" t="n"/>
      <c r="C129" s="8" t="n"/>
      <c r="D129" s="8" t="n"/>
      <c r="E129" s="9">
        <f>IF(C129&gt;0,D129/C129,"")</f>
        <v/>
      </c>
      <c r="F129" s="8" t="n"/>
      <c r="G129" s="10">
        <f>IF(C129&gt;0,F129*60/C129,"")</f>
        <v/>
      </c>
      <c r="H129" s="8" t="n"/>
    </row>
    <row r="130">
      <c r="A130" s="3" t="n"/>
      <c r="B130" s="4" t="n"/>
      <c r="C130" s="4" t="n"/>
      <c r="D130" s="4" t="n"/>
      <c r="E130" s="5">
        <f>IF(C130&gt;0,D130/C130,"")</f>
        <v/>
      </c>
      <c r="F130" s="4" t="n"/>
      <c r="G130" s="6">
        <f>IF(C130&gt;0,F130*60/C130,"")</f>
        <v/>
      </c>
      <c r="H130" s="4" t="n"/>
    </row>
    <row r="131">
      <c r="A131" s="7" t="n"/>
      <c r="B131" s="8" t="n"/>
      <c r="C131" s="8" t="n"/>
      <c r="D131" s="8" t="n"/>
      <c r="E131" s="9">
        <f>IF(C131&gt;0,D131/C131,"")</f>
        <v/>
      </c>
      <c r="F131" s="8" t="n"/>
      <c r="G131" s="10">
        <f>IF(C131&gt;0,F131*60/C131,"")</f>
        <v/>
      </c>
      <c r="H131" s="8" t="n"/>
    </row>
    <row r="132">
      <c r="A132" s="3" t="n"/>
      <c r="B132" s="4" t="n"/>
      <c r="C132" s="4" t="n"/>
      <c r="D132" s="4" t="n"/>
      <c r="E132" s="5">
        <f>IF(C132&gt;0,D132/C132,"")</f>
        <v/>
      </c>
      <c r="F132" s="4" t="n"/>
      <c r="G132" s="6">
        <f>IF(C132&gt;0,F132*60/C132,"")</f>
        <v/>
      </c>
      <c r="H132" s="4" t="n"/>
    </row>
    <row r="133">
      <c r="A133" s="7" t="n"/>
      <c r="B133" s="8" t="n"/>
      <c r="C133" s="8" t="n"/>
      <c r="D133" s="8" t="n"/>
      <c r="E133" s="9">
        <f>IF(C133&gt;0,D133/C133,"")</f>
        <v/>
      </c>
      <c r="F133" s="8" t="n"/>
      <c r="G133" s="10">
        <f>IF(C133&gt;0,F133*60/C133,"")</f>
        <v/>
      </c>
      <c r="H133" s="8" t="n"/>
    </row>
    <row r="134">
      <c r="A134" s="3" t="n"/>
      <c r="B134" s="4" t="n"/>
      <c r="C134" s="4" t="n"/>
      <c r="D134" s="4" t="n"/>
      <c r="E134" s="5">
        <f>IF(C134&gt;0,D134/C134,"")</f>
        <v/>
      </c>
      <c r="F134" s="4" t="n"/>
      <c r="G134" s="6">
        <f>IF(C134&gt;0,F134*60/C134,"")</f>
        <v/>
      </c>
      <c r="H134" s="4" t="n"/>
    </row>
    <row r="135">
      <c r="A135" s="7" t="n"/>
      <c r="B135" s="8" t="n"/>
      <c r="C135" s="8" t="n"/>
      <c r="D135" s="8" t="n"/>
      <c r="E135" s="9">
        <f>IF(C135&gt;0,D135/C135,"")</f>
        <v/>
      </c>
      <c r="F135" s="8" t="n"/>
      <c r="G135" s="10">
        <f>IF(C135&gt;0,F135*60/C135,"")</f>
        <v/>
      </c>
      <c r="H135" s="8" t="n"/>
    </row>
    <row r="136">
      <c r="A136" s="3" t="n"/>
      <c r="B136" s="4" t="n"/>
      <c r="C136" s="4" t="n"/>
      <c r="D136" s="4" t="n"/>
      <c r="E136" s="5">
        <f>IF(C136&gt;0,D136/C136,"")</f>
        <v/>
      </c>
      <c r="F136" s="4" t="n"/>
      <c r="G136" s="6">
        <f>IF(C136&gt;0,F136*60/C136,"")</f>
        <v/>
      </c>
      <c r="H136" s="4" t="n"/>
    </row>
    <row r="137">
      <c r="A137" s="7" t="n"/>
      <c r="B137" s="8" t="n"/>
      <c r="C137" s="8" t="n"/>
      <c r="D137" s="8" t="n"/>
      <c r="E137" s="9">
        <f>IF(C137&gt;0,D137/C137,"")</f>
        <v/>
      </c>
      <c r="F137" s="8" t="n"/>
      <c r="G137" s="10">
        <f>IF(C137&gt;0,F137*60/C137,"")</f>
        <v/>
      </c>
      <c r="H137" s="8" t="n"/>
    </row>
    <row r="138">
      <c r="A138" s="3" t="n"/>
      <c r="B138" s="4" t="n"/>
      <c r="C138" s="4" t="n"/>
      <c r="D138" s="4" t="n"/>
      <c r="E138" s="5">
        <f>IF(C138&gt;0,D138/C138,"")</f>
        <v/>
      </c>
      <c r="F138" s="4" t="n"/>
      <c r="G138" s="6">
        <f>IF(C138&gt;0,F138*60/C138,"")</f>
        <v/>
      </c>
      <c r="H138" s="4" t="n"/>
    </row>
    <row r="139">
      <c r="A139" s="7" t="n"/>
      <c r="B139" s="8" t="n"/>
      <c r="C139" s="8" t="n"/>
      <c r="D139" s="8" t="n"/>
      <c r="E139" s="9">
        <f>IF(C139&gt;0,D139/C139,"")</f>
        <v/>
      </c>
      <c r="F139" s="8" t="n"/>
      <c r="G139" s="10">
        <f>IF(C139&gt;0,F139*60/C139,"")</f>
        <v/>
      </c>
      <c r="H139" s="8" t="n"/>
    </row>
    <row r="140">
      <c r="A140" s="3" t="n"/>
      <c r="B140" s="4" t="n"/>
      <c r="C140" s="4" t="n"/>
      <c r="D140" s="4" t="n"/>
      <c r="E140" s="5">
        <f>IF(C140&gt;0,D140/C140,"")</f>
        <v/>
      </c>
      <c r="F140" s="4" t="n"/>
      <c r="G140" s="6">
        <f>IF(C140&gt;0,F140*60/C140,"")</f>
        <v/>
      </c>
      <c r="H140" s="4" t="n"/>
    </row>
    <row r="141">
      <c r="A141" s="7" t="n"/>
      <c r="B141" s="8" t="n"/>
      <c r="C141" s="8" t="n"/>
      <c r="D141" s="8" t="n"/>
      <c r="E141" s="9">
        <f>IF(C141&gt;0,D141/C141,"")</f>
        <v/>
      </c>
      <c r="F141" s="8" t="n"/>
      <c r="G141" s="10">
        <f>IF(C141&gt;0,F141*60/C141,"")</f>
        <v/>
      </c>
      <c r="H141" s="8" t="n"/>
    </row>
    <row r="142">
      <c r="A142" s="3" t="n"/>
      <c r="B142" s="4" t="n"/>
      <c r="C142" s="4" t="n"/>
      <c r="D142" s="4" t="n"/>
      <c r="E142" s="5">
        <f>IF(C142&gt;0,D142/C142,"")</f>
        <v/>
      </c>
      <c r="F142" s="4" t="n"/>
      <c r="G142" s="6">
        <f>IF(C142&gt;0,F142*60/C142,"")</f>
        <v/>
      </c>
      <c r="H142" s="4" t="n"/>
    </row>
    <row r="143">
      <c r="A143" s="7" t="n"/>
      <c r="B143" s="8" t="n"/>
      <c r="C143" s="8" t="n"/>
      <c r="D143" s="8" t="n"/>
      <c r="E143" s="9">
        <f>IF(C143&gt;0,D143/C143,"")</f>
        <v/>
      </c>
      <c r="F143" s="8" t="n"/>
      <c r="G143" s="10">
        <f>IF(C143&gt;0,F143*60/C143,"")</f>
        <v/>
      </c>
      <c r="H143" s="8" t="n"/>
    </row>
    <row r="144">
      <c r="A144" s="3" t="n"/>
      <c r="B144" s="4" t="n"/>
      <c r="C144" s="4" t="n"/>
      <c r="D144" s="4" t="n"/>
      <c r="E144" s="5">
        <f>IF(C144&gt;0,D144/C144,"")</f>
        <v/>
      </c>
      <c r="F144" s="4" t="n"/>
      <c r="G144" s="6">
        <f>IF(C144&gt;0,F144*60/C144,"")</f>
        <v/>
      </c>
      <c r="H144" s="4" t="n"/>
    </row>
    <row r="145">
      <c r="A145" s="7" t="n"/>
      <c r="B145" s="8" t="n"/>
      <c r="C145" s="8" t="n"/>
      <c r="D145" s="8" t="n"/>
      <c r="E145" s="9">
        <f>IF(C145&gt;0,D145/C145,"")</f>
        <v/>
      </c>
      <c r="F145" s="8" t="n"/>
      <c r="G145" s="10">
        <f>IF(C145&gt;0,F145*60/C145,"")</f>
        <v/>
      </c>
      <c r="H145" s="8" t="n"/>
    </row>
    <row r="146">
      <c r="A146" s="3" t="n"/>
      <c r="B146" s="4" t="n"/>
      <c r="C146" s="4" t="n"/>
      <c r="D146" s="4" t="n"/>
      <c r="E146" s="5">
        <f>IF(C146&gt;0,D146/C146,"")</f>
        <v/>
      </c>
      <c r="F146" s="4" t="n"/>
      <c r="G146" s="6">
        <f>IF(C146&gt;0,F146*60/C146,"")</f>
        <v/>
      </c>
      <c r="H146" s="4" t="n"/>
    </row>
    <row r="147">
      <c r="A147" s="7" t="n"/>
      <c r="B147" s="8" t="n"/>
      <c r="C147" s="8" t="n"/>
      <c r="D147" s="8" t="n"/>
      <c r="E147" s="9">
        <f>IF(C147&gt;0,D147/C147,"")</f>
        <v/>
      </c>
      <c r="F147" s="8" t="n"/>
      <c r="G147" s="10">
        <f>IF(C147&gt;0,F147*60/C147,"")</f>
        <v/>
      </c>
      <c r="H147" s="8" t="n"/>
    </row>
    <row r="148">
      <c r="A148" s="3" t="n"/>
      <c r="B148" s="4" t="n"/>
      <c r="C148" s="4" t="n"/>
      <c r="D148" s="4" t="n"/>
      <c r="E148" s="5">
        <f>IF(C148&gt;0,D148/C148,"")</f>
        <v/>
      </c>
      <c r="F148" s="4" t="n"/>
      <c r="G148" s="6">
        <f>IF(C148&gt;0,F148*60/C148,"")</f>
        <v/>
      </c>
      <c r="H148" s="4" t="n"/>
    </row>
    <row r="149">
      <c r="A149" s="7" t="n"/>
      <c r="B149" s="8" t="n"/>
      <c r="C149" s="8" t="n"/>
      <c r="D149" s="8" t="n"/>
      <c r="E149" s="9">
        <f>IF(C149&gt;0,D149/C149,"")</f>
        <v/>
      </c>
      <c r="F149" s="8" t="n"/>
      <c r="G149" s="10">
        <f>IF(C149&gt;0,F149*60/C149,"")</f>
        <v/>
      </c>
      <c r="H149" s="8" t="n"/>
    </row>
    <row r="150">
      <c r="A150" s="3" t="n"/>
      <c r="B150" s="4" t="n"/>
      <c r="C150" s="4" t="n"/>
      <c r="D150" s="4" t="n"/>
      <c r="E150" s="5">
        <f>IF(C150&gt;0,D150/C150,"")</f>
        <v/>
      </c>
      <c r="F150" s="4" t="n"/>
      <c r="G150" s="6">
        <f>IF(C150&gt;0,F150*60/C150,"")</f>
        <v/>
      </c>
      <c r="H150" s="4" t="n"/>
    </row>
    <row r="151">
      <c r="A151" s="7" t="n"/>
      <c r="B151" s="8" t="n"/>
      <c r="C151" s="8" t="n"/>
      <c r="D151" s="8" t="n"/>
      <c r="E151" s="9">
        <f>IF(C151&gt;0,D151/C151,"")</f>
        <v/>
      </c>
      <c r="F151" s="8" t="n"/>
      <c r="G151" s="10">
        <f>IF(C151&gt;0,F151*60/C151,"")</f>
        <v/>
      </c>
      <c r="H151" s="8" t="n"/>
    </row>
    <row r="152">
      <c r="A152" s="3" t="n"/>
      <c r="B152" s="4" t="n"/>
      <c r="C152" s="4" t="n"/>
      <c r="D152" s="4" t="n"/>
      <c r="E152" s="5">
        <f>IF(C152&gt;0,D152/C152,"")</f>
        <v/>
      </c>
      <c r="F152" s="4" t="n"/>
      <c r="G152" s="6">
        <f>IF(C152&gt;0,F152*60/C152,"")</f>
        <v/>
      </c>
      <c r="H152" s="4" t="n"/>
    </row>
    <row r="153">
      <c r="A153" s="7" t="n"/>
      <c r="B153" s="8" t="n"/>
      <c r="C153" s="8" t="n"/>
      <c r="D153" s="8" t="n"/>
      <c r="E153" s="9">
        <f>IF(C153&gt;0,D153/C153,"")</f>
        <v/>
      </c>
      <c r="F153" s="8" t="n"/>
      <c r="G153" s="10">
        <f>IF(C153&gt;0,F153*60/C153,"")</f>
        <v/>
      </c>
      <c r="H153" s="8" t="n"/>
    </row>
    <row r="154">
      <c r="A154" s="3" t="n"/>
      <c r="B154" s="4" t="n"/>
      <c r="C154" s="4" t="n"/>
      <c r="D154" s="4" t="n"/>
      <c r="E154" s="5">
        <f>IF(C154&gt;0,D154/C154,"")</f>
        <v/>
      </c>
      <c r="F154" s="4" t="n"/>
      <c r="G154" s="6">
        <f>IF(C154&gt;0,F154*60/C154,"")</f>
        <v/>
      </c>
      <c r="H154" s="4" t="n"/>
    </row>
    <row r="155">
      <c r="A155" s="7" t="n"/>
      <c r="B155" s="8" t="n"/>
      <c r="C155" s="8" t="n"/>
      <c r="D155" s="8" t="n"/>
      <c r="E155" s="9">
        <f>IF(C155&gt;0,D155/C155,"")</f>
        <v/>
      </c>
      <c r="F155" s="8" t="n"/>
      <c r="G155" s="10">
        <f>IF(C155&gt;0,F155*60/C155,"")</f>
        <v/>
      </c>
      <c r="H155" s="8" t="n"/>
    </row>
    <row r="156">
      <c r="A156" s="3" t="n"/>
      <c r="B156" s="4" t="n"/>
      <c r="C156" s="4" t="n"/>
      <c r="D156" s="4" t="n"/>
      <c r="E156" s="5">
        <f>IF(C156&gt;0,D156/C156,"")</f>
        <v/>
      </c>
      <c r="F156" s="4" t="n"/>
      <c r="G156" s="6">
        <f>IF(C156&gt;0,F156*60/C156,"")</f>
        <v/>
      </c>
      <c r="H156" s="4" t="n"/>
    </row>
    <row r="157">
      <c r="A157" s="7" t="n"/>
      <c r="B157" s="8" t="n"/>
      <c r="C157" s="8" t="n"/>
      <c r="D157" s="8" t="n"/>
      <c r="E157" s="9">
        <f>IF(C157&gt;0,D157/C157,"")</f>
        <v/>
      </c>
      <c r="F157" s="8" t="n"/>
      <c r="G157" s="10">
        <f>IF(C157&gt;0,F157*60/C157,"")</f>
        <v/>
      </c>
      <c r="H157" s="8" t="n"/>
    </row>
    <row r="158">
      <c r="A158" s="3" t="n"/>
      <c r="B158" s="4" t="n"/>
      <c r="C158" s="4" t="n"/>
      <c r="D158" s="4" t="n"/>
      <c r="E158" s="5">
        <f>IF(C158&gt;0,D158/C158,"")</f>
        <v/>
      </c>
      <c r="F158" s="4" t="n"/>
      <c r="G158" s="6">
        <f>IF(C158&gt;0,F158*60/C158,"")</f>
        <v/>
      </c>
      <c r="H158" s="4" t="n"/>
    </row>
    <row r="159">
      <c r="A159" s="7" t="n"/>
      <c r="B159" s="8" t="n"/>
      <c r="C159" s="8" t="n"/>
      <c r="D159" s="8" t="n"/>
      <c r="E159" s="9">
        <f>IF(C159&gt;0,D159/C159,"")</f>
        <v/>
      </c>
      <c r="F159" s="8" t="n"/>
      <c r="G159" s="10">
        <f>IF(C159&gt;0,F159*60/C159,"")</f>
        <v/>
      </c>
      <c r="H159" s="8" t="n"/>
    </row>
    <row r="160">
      <c r="A160" s="3" t="n"/>
      <c r="B160" s="4" t="n"/>
      <c r="C160" s="4" t="n"/>
      <c r="D160" s="4" t="n"/>
      <c r="E160" s="5">
        <f>IF(C160&gt;0,D160/C160,"")</f>
        <v/>
      </c>
      <c r="F160" s="4" t="n"/>
      <c r="G160" s="6">
        <f>IF(C160&gt;0,F160*60/C160,"")</f>
        <v/>
      </c>
      <c r="H160" s="4" t="n"/>
    </row>
    <row r="161">
      <c r="A161" s="7" t="n"/>
      <c r="B161" s="8" t="n"/>
      <c r="C161" s="8" t="n"/>
      <c r="D161" s="8" t="n"/>
      <c r="E161" s="9">
        <f>IF(C161&gt;0,D161/C161,"")</f>
        <v/>
      </c>
      <c r="F161" s="8" t="n"/>
      <c r="G161" s="10">
        <f>IF(C161&gt;0,F161*60/C161,"")</f>
        <v/>
      </c>
      <c r="H161" s="8" t="n"/>
    </row>
    <row r="162">
      <c r="A162" s="3" t="n"/>
      <c r="B162" s="4" t="n"/>
      <c r="C162" s="4" t="n"/>
      <c r="D162" s="4" t="n"/>
      <c r="E162" s="5">
        <f>IF(C162&gt;0,D162/C162,"")</f>
        <v/>
      </c>
      <c r="F162" s="4" t="n"/>
      <c r="G162" s="6">
        <f>IF(C162&gt;0,F162*60/C162,"")</f>
        <v/>
      </c>
      <c r="H162" s="4" t="n"/>
    </row>
    <row r="163">
      <c r="A163" s="7" t="n"/>
      <c r="B163" s="8" t="n"/>
      <c r="C163" s="8" t="n"/>
      <c r="D163" s="8" t="n"/>
      <c r="E163" s="9">
        <f>IF(C163&gt;0,D163/C163,"")</f>
        <v/>
      </c>
      <c r="F163" s="8" t="n"/>
      <c r="G163" s="10">
        <f>IF(C163&gt;0,F163*60/C163,"")</f>
        <v/>
      </c>
      <c r="H163" s="8" t="n"/>
    </row>
    <row r="164">
      <c r="A164" s="3" t="n"/>
      <c r="B164" s="4" t="n"/>
      <c r="C164" s="4" t="n"/>
      <c r="D164" s="4" t="n"/>
      <c r="E164" s="5">
        <f>IF(C164&gt;0,D164/C164,"")</f>
        <v/>
      </c>
      <c r="F164" s="4" t="n"/>
      <c r="G164" s="6">
        <f>IF(C164&gt;0,F164*60/C164,"")</f>
        <v/>
      </c>
      <c r="H164" s="4" t="n"/>
    </row>
    <row r="165">
      <c r="A165" s="7" t="n"/>
      <c r="B165" s="8" t="n"/>
      <c r="C165" s="8" t="n"/>
      <c r="D165" s="8" t="n"/>
      <c r="E165" s="9">
        <f>IF(C165&gt;0,D165/C165,"")</f>
        <v/>
      </c>
      <c r="F165" s="8" t="n"/>
      <c r="G165" s="10">
        <f>IF(C165&gt;0,F165*60/C165,"")</f>
        <v/>
      </c>
      <c r="H165" s="8" t="n"/>
    </row>
    <row r="166">
      <c r="A166" s="3" t="n"/>
      <c r="B166" s="4" t="n"/>
      <c r="C166" s="4" t="n"/>
      <c r="D166" s="4" t="n"/>
      <c r="E166" s="5">
        <f>IF(C166&gt;0,D166/C166,"")</f>
        <v/>
      </c>
      <c r="F166" s="4" t="n"/>
      <c r="G166" s="6">
        <f>IF(C166&gt;0,F166*60/C166,"")</f>
        <v/>
      </c>
      <c r="H166" s="4" t="n"/>
    </row>
    <row r="167">
      <c r="A167" s="7" t="n"/>
      <c r="B167" s="8" t="n"/>
      <c r="C167" s="8" t="n"/>
      <c r="D167" s="8" t="n"/>
      <c r="E167" s="9">
        <f>IF(C167&gt;0,D167/C167,"")</f>
        <v/>
      </c>
      <c r="F167" s="8" t="n"/>
      <c r="G167" s="10">
        <f>IF(C167&gt;0,F167*60/C167,"")</f>
        <v/>
      </c>
      <c r="H167" s="8" t="n"/>
    </row>
    <row r="168">
      <c r="A168" s="3" t="n"/>
      <c r="B168" s="4" t="n"/>
      <c r="C168" s="4" t="n"/>
      <c r="D168" s="4" t="n"/>
      <c r="E168" s="5">
        <f>IF(C168&gt;0,D168/C168,"")</f>
        <v/>
      </c>
      <c r="F168" s="4" t="n"/>
      <c r="G168" s="6">
        <f>IF(C168&gt;0,F168*60/C168,"")</f>
        <v/>
      </c>
      <c r="H168" s="4" t="n"/>
    </row>
    <row r="169">
      <c r="A169" s="7" t="n"/>
      <c r="B169" s="8" t="n"/>
      <c r="C169" s="8" t="n"/>
      <c r="D169" s="8" t="n"/>
      <c r="E169" s="9">
        <f>IF(C169&gt;0,D169/C169,"")</f>
        <v/>
      </c>
      <c r="F169" s="8" t="n"/>
      <c r="G169" s="10">
        <f>IF(C169&gt;0,F169*60/C169,"")</f>
        <v/>
      </c>
      <c r="H169" s="8" t="n"/>
    </row>
    <row r="170">
      <c r="A170" s="3" t="n"/>
      <c r="B170" s="4" t="n"/>
      <c r="C170" s="4" t="n"/>
      <c r="D170" s="4" t="n"/>
      <c r="E170" s="5">
        <f>IF(C170&gt;0,D170/C170,"")</f>
        <v/>
      </c>
      <c r="F170" s="4" t="n"/>
      <c r="G170" s="6">
        <f>IF(C170&gt;0,F170*60/C170,"")</f>
        <v/>
      </c>
      <c r="H170" s="4" t="n"/>
    </row>
    <row r="171">
      <c r="A171" s="7" t="n"/>
      <c r="B171" s="8" t="n"/>
      <c r="C171" s="8" t="n"/>
      <c r="D171" s="8" t="n"/>
      <c r="E171" s="9">
        <f>IF(C171&gt;0,D171/C171,"")</f>
        <v/>
      </c>
      <c r="F171" s="8" t="n"/>
      <c r="G171" s="10">
        <f>IF(C171&gt;0,F171*60/C171,"")</f>
        <v/>
      </c>
      <c r="H171" s="8" t="n"/>
    </row>
    <row r="172">
      <c r="A172" s="3" t="n"/>
      <c r="B172" s="4" t="n"/>
      <c r="C172" s="4" t="n"/>
      <c r="D172" s="4" t="n"/>
      <c r="E172" s="5">
        <f>IF(C172&gt;0,D172/C172,"")</f>
        <v/>
      </c>
      <c r="F172" s="4" t="n"/>
      <c r="G172" s="6">
        <f>IF(C172&gt;0,F172*60/C172,"")</f>
        <v/>
      </c>
      <c r="H172" s="4" t="n"/>
    </row>
    <row r="173">
      <c r="A173" s="7" t="n"/>
      <c r="B173" s="8" t="n"/>
      <c r="C173" s="8" t="n"/>
      <c r="D173" s="8" t="n"/>
      <c r="E173" s="9">
        <f>IF(C173&gt;0,D173/C173,"")</f>
        <v/>
      </c>
      <c r="F173" s="8" t="n"/>
      <c r="G173" s="10">
        <f>IF(C173&gt;0,F173*60/C173,"")</f>
        <v/>
      </c>
      <c r="H173" s="8" t="n"/>
    </row>
    <row r="174">
      <c r="A174" s="3" t="n"/>
      <c r="B174" s="4" t="n"/>
      <c r="C174" s="4" t="n"/>
      <c r="D174" s="4" t="n"/>
      <c r="E174" s="5">
        <f>IF(C174&gt;0,D174/C174,"")</f>
        <v/>
      </c>
      <c r="F174" s="4" t="n"/>
      <c r="G174" s="6">
        <f>IF(C174&gt;0,F174*60/C174,"")</f>
        <v/>
      </c>
      <c r="H174" s="4" t="n"/>
    </row>
    <row r="175">
      <c r="A175" s="7" t="n"/>
      <c r="B175" s="8" t="n"/>
      <c r="C175" s="8" t="n"/>
      <c r="D175" s="8" t="n"/>
      <c r="E175" s="9">
        <f>IF(C175&gt;0,D175/C175,"")</f>
        <v/>
      </c>
      <c r="F175" s="8" t="n"/>
      <c r="G175" s="10">
        <f>IF(C175&gt;0,F175*60/C175,"")</f>
        <v/>
      </c>
      <c r="H175" s="8" t="n"/>
    </row>
    <row r="176">
      <c r="A176" s="3" t="n"/>
      <c r="B176" s="4" t="n"/>
      <c r="C176" s="4" t="n"/>
      <c r="D176" s="4" t="n"/>
      <c r="E176" s="5">
        <f>IF(C176&gt;0,D176/C176,"")</f>
        <v/>
      </c>
      <c r="F176" s="4" t="n"/>
      <c r="G176" s="6">
        <f>IF(C176&gt;0,F176*60/C176,"")</f>
        <v/>
      </c>
      <c r="H176" s="4" t="n"/>
    </row>
    <row r="177">
      <c r="A177" s="7" t="n"/>
      <c r="B177" s="8" t="n"/>
      <c r="C177" s="8" t="n"/>
      <c r="D177" s="8" t="n"/>
      <c r="E177" s="9">
        <f>IF(C177&gt;0,D177/C177,"")</f>
        <v/>
      </c>
      <c r="F177" s="8" t="n"/>
      <c r="G177" s="10">
        <f>IF(C177&gt;0,F177*60/C177,"")</f>
        <v/>
      </c>
      <c r="H177" s="8" t="n"/>
    </row>
    <row r="178">
      <c r="A178" s="3" t="n"/>
      <c r="B178" s="4" t="n"/>
      <c r="C178" s="4" t="n"/>
      <c r="D178" s="4" t="n"/>
      <c r="E178" s="5">
        <f>IF(C178&gt;0,D178/C178,"")</f>
        <v/>
      </c>
      <c r="F178" s="4" t="n"/>
      <c r="G178" s="6">
        <f>IF(C178&gt;0,F178*60/C178,"")</f>
        <v/>
      </c>
      <c r="H178" s="4" t="n"/>
    </row>
    <row r="179">
      <c r="A179" s="7" t="n"/>
      <c r="B179" s="8" t="n"/>
      <c r="C179" s="8" t="n"/>
      <c r="D179" s="8" t="n"/>
      <c r="E179" s="9">
        <f>IF(C179&gt;0,D179/C179,"")</f>
        <v/>
      </c>
      <c r="F179" s="8" t="n"/>
      <c r="G179" s="10">
        <f>IF(C179&gt;0,F179*60/C179,"")</f>
        <v/>
      </c>
      <c r="H179" s="8" t="n"/>
    </row>
    <row r="180">
      <c r="A180" s="3" t="n"/>
      <c r="B180" s="4" t="n"/>
      <c r="C180" s="4" t="n"/>
      <c r="D180" s="4" t="n"/>
      <c r="E180" s="5">
        <f>IF(C180&gt;0,D180/C180,"")</f>
        <v/>
      </c>
      <c r="F180" s="4" t="n"/>
      <c r="G180" s="6">
        <f>IF(C180&gt;0,F180*60/C180,"")</f>
        <v/>
      </c>
      <c r="H180" s="4" t="n"/>
    </row>
    <row r="181">
      <c r="A181" s="7" t="n"/>
      <c r="B181" s="8" t="n"/>
      <c r="C181" s="8" t="n"/>
      <c r="D181" s="8" t="n"/>
      <c r="E181" s="9">
        <f>IF(C181&gt;0,D181/C181,"")</f>
        <v/>
      </c>
      <c r="F181" s="8" t="n"/>
      <c r="G181" s="10">
        <f>IF(C181&gt;0,F181*60/C181,"")</f>
        <v/>
      </c>
      <c r="H181" s="8" t="n"/>
    </row>
    <row r="182">
      <c r="A182" s="3" t="n"/>
      <c r="B182" s="4" t="n"/>
      <c r="C182" s="4" t="n"/>
      <c r="D182" s="4" t="n"/>
      <c r="E182" s="5">
        <f>IF(C182&gt;0,D182/C182,"")</f>
        <v/>
      </c>
      <c r="F182" s="4" t="n"/>
      <c r="G182" s="6">
        <f>IF(C182&gt;0,F182*60/C182,"")</f>
        <v/>
      </c>
      <c r="H182" s="4" t="n"/>
    </row>
    <row r="183">
      <c r="A183" s="7" t="n"/>
      <c r="B183" s="8" t="n"/>
      <c r="C183" s="8" t="n"/>
      <c r="D183" s="8" t="n"/>
      <c r="E183" s="9">
        <f>IF(C183&gt;0,D183/C183,"")</f>
        <v/>
      </c>
      <c r="F183" s="8" t="n"/>
      <c r="G183" s="10">
        <f>IF(C183&gt;0,F183*60/C183,"")</f>
        <v/>
      </c>
      <c r="H183" s="8" t="n"/>
    </row>
    <row r="184">
      <c r="A184" s="3" t="n"/>
      <c r="B184" s="4" t="n"/>
      <c r="C184" s="4" t="n"/>
      <c r="D184" s="4" t="n"/>
      <c r="E184" s="5">
        <f>IF(C184&gt;0,D184/C184,"")</f>
        <v/>
      </c>
      <c r="F184" s="4" t="n"/>
      <c r="G184" s="6">
        <f>IF(C184&gt;0,F184*60/C184,"")</f>
        <v/>
      </c>
      <c r="H184" s="4" t="n"/>
    </row>
    <row r="185">
      <c r="A185" s="7" t="n"/>
      <c r="B185" s="8" t="n"/>
      <c r="C185" s="8" t="n"/>
      <c r="D185" s="8" t="n"/>
      <c r="E185" s="9">
        <f>IF(C185&gt;0,D185/C185,"")</f>
        <v/>
      </c>
      <c r="F185" s="8" t="n"/>
      <c r="G185" s="10">
        <f>IF(C185&gt;0,F185*60/C185,"")</f>
        <v/>
      </c>
      <c r="H185" s="8" t="n"/>
    </row>
    <row r="186">
      <c r="A186" s="3" t="n"/>
      <c r="B186" s="4" t="n"/>
      <c r="C186" s="4" t="n"/>
      <c r="D186" s="4" t="n"/>
      <c r="E186" s="5">
        <f>IF(C186&gt;0,D186/C186,"")</f>
        <v/>
      </c>
      <c r="F186" s="4" t="n"/>
      <c r="G186" s="6">
        <f>IF(C186&gt;0,F186*60/C186,"")</f>
        <v/>
      </c>
      <c r="H186" s="4" t="n"/>
    </row>
    <row r="187">
      <c r="A187" s="7" t="n"/>
      <c r="B187" s="8" t="n"/>
      <c r="C187" s="8" t="n"/>
      <c r="D187" s="8" t="n"/>
      <c r="E187" s="9">
        <f>IF(C187&gt;0,D187/C187,"")</f>
        <v/>
      </c>
      <c r="F187" s="8" t="n"/>
      <c r="G187" s="10">
        <f>IF(C187&gt;0,F187*60/C187,"")</f>
        <v/>
      </c>
      <c r="H187" s="8" t="n"/>
    </row>
    <row r="188">
      <c r="A188" s="3" t="n"/>
      <c r="B188" s="4" t="n"/>
      <c r="C188" s="4" t="n"/>
      <c r="D188" s="4" t="n"/>
      <c r="E188" s="5">
        <f>IF(C188&gt;0,D188/C188,"")</f>
        <v/>
      </c>
      <c r="F188" s="4" t="n"/>
      <c r="G188" s="6">
        <f>IF(C188&gt;0,F188*60/C188,"")</f>
        <v/>
      </c>
      <c r="H188" s="4" t="n"/>
    </row>
    <row r="189">
      <c r="A189" s="7" t="n"/>
      <c r="B189" s="8" t="n"/>
      <c r="C189" s="8" t="n"/>
      <c r="D189" s="8" t="n"/>
      <c r="E189" s="9">
        <f>IF(C189&gt;0,D189/C189,"")</f>
        <v/>
      </c>
      <c r="F189" s="8" t="n"/>
      <c r="G189" s="10">
        <f>IF(C189&gt;0,F189*60/C189,"")</f>
        <v/>
      </c>
      <c r="H189" s="8" t="n"/>
    </row>
    <row r="190">
      <c r="A190" s="3" t="n"/>
      <c r="B190" s="4" t="n"/>
      <c r="C190" s="4" t="n"/>
      <c r="D190" s="4" t="n"/>
      <c r="E190" s="5">
        <f>IF(C190&gt;0,D190/C190,"")</f>
        <v/>
      </c>
      <c r="F190" s="4" t="n"/>
      <c r="G190" s="6">
        <f>IF(C190&gt;0,F190*60/C190,"")</f>
        <v/>
      </c>
      <c r="H190" s="4" t="n"/>
    </row>
    <row r="191">
      <c r="A191" s="7" t="n"/>
      <c r="B191" s="8" t="n"/>
      <c r="C191" s="8" t="n"/>
      <c r="D191" s="8" t="n"/>
      <c r="E191" s="9">
        <f>IF(C191&gt;0,D191/C191,"")</f>
        <v/>
      </c>
      <c r="F191" s="8" t="n"/>
      <c r="G191" s="10">
        <f>IF(C191&gt;0,F191*60/C191,"")</f>
        <v/>
      </c>
      <c r="H191" s="8" t="n"/>
    </row>
    <row r="192">
      <c r="A192" s="3" t="n"/>
      <c r="B192" s="4" t="n"/>
      <c r="C192" s="4" t="n"/>
      <c r="D192" s="4" t="n"/>
      <c r="E192" s="5">
        <f>IF(C192&gt;0,D192/C192,"")</f>
        <v/>
      </c>
      <c r="F192" s="4" t="n"/>
      <c r="G192" s="6">
        <f>IF(C192&gt;0,F192*60/C192,"")</f>
        <v/>
      </c>
      <c r="H192" s="4" t="n"/>
    </row>
    <row r="193">
      <c r="A193" s="7" t="n"/>
      <c r="B193" s="8" t="n"/>
      <c r="C193" s="8" t="n"/>
      <c r="D193" s="8" t="n"/>
      <c r="E193" s="9">
        <f>IF(C193&gt;0,D193/C193,"")</f>
        <v/>
      </c>
      <c r="F193" s="8" t="n"/>
      <c r="G193" s="10">
        <f>IF(C193&gt;0,F193*60/C193,"")</f>
        <v/>
      </c>
      <c r="H193" s="8" t="n"/>
    </row>
    <row r="194">
      <c r="A194" s="3" t="n"/>
      <c r="B194" s="4" t="n"/>
      <c r="C194" s="4" t="n"/>
      <c r="D194" s="4" t="n"/>
      <c r="E194" s="5">
        <f>IF(C194&gt;0,D194/C194,"")</f>
        <v/>
      </c>
      <c r="F194" s="4" t="n"/>
      <c r="G194" s="6">
        <f>IF(C194&gt;0,F194*60/C194,"")</f>
        <v/>
      </c>
      <c r="H194" s="4" t="n"/>
    </row>
    <row r="195">
      <c r="A195" s="7" t="n"/>
      <c r="B195" s="8" t="n"/>
      <c r="C195" s="8" t="n"/>
      <c r="D195" s="8" t="n"/>
      <c r="E195" s="9">
        <f>IF(C195&gt;0,D195/C195,"")</f>
        <v/>
      </c>
      <c r="F195" s="8" t="n"/>
      <c r="G195" s="10">
        <f>IF(C195&gt;0,F195*60/C195,"")</f>
        <v/>
      </c>
      <c r="H195" s="8" t="n"/>
    </row>
    <row r="196">
      <c r="A196" s="3" t="n"/>
      <c r="B196" s="4" t="n"/>
      <c r="C196" s="4" t="n"/>
      <c r="D196" s="4" t="n"/>
      <c r="E196" s="5">
        <f>IF(C196&gt;0,D196/C196,"")</f>
        <v/>
      </c>
      <c r="F196" s="4" t="n"/>
      <c r="G196" s="6">
        <f>IF(C196&gt;0,F196*60/C196,"")</f>
        <v/>
      </c>
      <c r="H196" s="4" t="n"/>
    </row>
    <row r="197">
      <c r="A197" s="7" t="n"/>
      <c r="B197" s="8" t="n"/>
      <c r="C197" s="8" t="n"/>
      <c r="D197" s="8" t="n"/>
      <c r="E197" s="9">
        <f>IF(C197&gt;0,D197/C197,"")</f>
        <v/>
      </c>
      <c r="F197" s="8" t="n"/>
      <c r="G197" s="10">
        <f>IF(C197&gt;0,F197*60/C197,"")</f>
        <v/>
      </c>
      <c r="H197" s="8" t="n"/>
    </row>
    <row r="198">
      <c r="A198" s="3" t="n"/>
      <c r="B198" s="4" t="n"/>
      <c r="C198" s="4" t="n"/>
      <c r="D198" s="4" t="n"/>
      <c r="E198" s="5">
        <f>IF(C198&gt;0,D198/C198,"")</f>
        <v/>
      </c>
      <c r="F198" s="4" t="n"/>
      <c r="G198" s="6">
        <f>IF(C198&gt;0,F198*60/C198,"")</f>
        <v/>
      </c>
      <c r="H198" s="4" t="n"/>
    </row>
    <row r="199">
      <c r="A199" s="7" t="n"/>
      <c r="B199" s="8" t="n"/>
      <c r="C199" s="8" t="n"/>
      <c r="D199" s="8" t="n"/>
      <c r="E199" s="9">
        <f>IF(C199&gt;0,D199/C199,"")</f>
        <v/>
      </c>
      <c r="F199" s="8" t="n"/>
      <c r="G199" s="10">
        <f>IF(C199&gt;0,F199*60/C199,"")</f>
        <v/>
      </c>
      <c r="H199" s="8" t="n"/>
    </row>
    <row r="200">
      <c r="A200" s="3" t="n"/>
      <c r="B200" s="4" t="n"/>
      <c r="C200" s="4" t="n"/>
      <c r="D200" s="4" t="n"/>
      <c r="E200" s="5">
        <f>IF(C200&gt;0,D200/C200,"")</f>
        <v/>
      </c>
      <c r="F200" s="4" t="n"/>
      <c r="G200" s="6">
        <f>IF(C200&gt;0,F200*60/C200,"")</f>
        <v/>
      </c>
      <c r="H200" s="4" t="n"/>
    </row>
    <row r="201">
      <c r="A201" s="7" t="n"/>
      <c r="B201" s="8" t="n"/>
      <c r="C201" s="8" t="n"/>
      <c r="D201" s="8" t="n"/>
      <c r="E201" s="9">
        <f>IF(C201&gt;0,D201/C201,"")</f>
        <v/>
      </c>
      <c r="F201" s="8" t="n"/>
      <c r="G201" s="10">
        <f>IF(C201&gt;0,F201*60/C201,"")</f>
        <v/>
      </c>
      <c r="H201" s="8" t="n"/>
    </row>
    <row r="202">
      <c r="A202" s="3" t="n"/>
      <c r="B202" s="4" t="n"/>
      <c r="C202" s="4" t="n"/>
      <c r="D202" s="4" t="n"/>
      <c r="E202" s="5">
        <f>IF(C202&gt;0,D202/C202,"")</f>
        <v/>
      </c>
      <c r="F202" s="4" t="n"/>
      <c r="G202" s="6">
        <f>IF(C202&gt;0,F202*60/C202,"")</f>
        <v/>
      </c>
      <c r="H202" s="4" t="n"/>
    </row>
    <row r="203">
      <c r="A203" s="7" t="n"/>
      <c r="B203" s="8" t="n"/>
      <c r="C203" s="8" t="n"/>
      <c r="D203" s="8" t="n"/>
      <c r="E203" s="9">
        <f>IF(C203&gt;0,D203/C203,"")</f>
        <v/>
      </c>
      <c r="F203" s="8" t="n"/>
      <c r="G203" s="10">
        <f>IF(C203&gt;0,F203*60/C203,"")</f>
        <v/>
      </c>
      <c r="H203" s="8" t="n"/>
    </row>
  </sheetData>
  <conditionalFormatting sqref="E4:E203">
    <cfRule type="cellIs" priority="1" operator="greaterThanOrEqual" dxfId="0">
      <formula>0.9</formula>
    </cfRule>
    <cfRule type="cellIs" priority="2" operator="lessThan" dxfId="1">
      <formula>0.7</formula>
    </cfRule>
  </conditionalFormatting>
  <dataValidations count="1">
    <dataValidation sqref="B4:B203" showDropDown="0" showInputMessage="0" showErrorMessage="0" allowBlank="1" type="list">
      <formula1>Lists!$A$1:$A$21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4" customWidth="1" min="3" max="3"/>
    <col width="14" customWidth="1" min="4" max="4"/>
    <col width="11" customWidth="1" min="5" max="5"/>
    <col width="14" customWidth="1" min="6" max="6"/>
    <col width="11" customWidth="1" min="7" max="7"/>
    <col width="13" customWidth="1" min="8" max="8"/>
    <col width="12" customWidth="1" min="9" max="9"/>
  </cols>
  <sheetData>
    <row r="1">
      <c r="A1" s="1" t="inlineStr">
        <is>
          <t>Part XIII practice sets (8 questions each)</t>
        </is>
      </c>
    </row>
    <row r="3" ht="30" customHeight="1">
      <c r="A3" s="2" t="inlineStr">
        <is>
          <t>Set</t>
        </is>
      </c>
      <c r="B3" s="2" t="inlineStr">
        <is>
          <t>Category</t>
        </is>
      </c>
      <c r="C3" s="2" t="inlineStr">
        <is>
          <t>Difficulty</t>
        </is>
      </c>
      <c r="D3" s="2" t="inlineStr">
        <is>
          <t>Suggested min</t>
        </is>
      </c>
      <c r="E3" s="2" t="inlineStr">
        <is>
          <t>Score / 8</t>
        </is>
      </c>
      <c r="F3" s="2" t="inlineStr">
        <is>
          <t>Minutes taken</t>
        </is>
      </c>
      <c r="G3" s="2" t="inlineStr">
        <is>
          <t>Accuracy</t>
        </is>
      </c>
      <c r="H3" s="2" t="inlineStr">
        <is>
          <t>Within time?</t>
        </is>
      </c>
      <c r="I3" s="2" t="inlineStr">
        <is>
          <t>Date</t>
        </is>
      </c>
    </row>
    <row r="4">
      <c r="A4" s="4" t="n">
        <v>1</v>
      </c>
      <c r="B4" s="4" t="inlineStr">
        <is>
          <t>Foundational arithmetic</t>
        </is>
      </c>
      <c r="C4" s="4" t="inlineStr">
        <is>
          <t>Beginner</t>
        </is>
      </c>
      <c r="D4" s="4" t="n">
        <v>6</v>
      </c>
      <c r="E4" s="4" t="n"/>
      <c r="F4" s="4" t="n"/>
      <c r="G4" s="5">
        <f>IF(E4&lt;&gt;"",E4/8,"")</f>
        <v/>
      </c>
      <c r="H4" s="4">
        <f>IF(F4&lt;&gt;"",IF(F4&lt;=D4,"Yes","No"),"")</f>
        <v/>
      </c>
      <c r="I4" s="4" t="n"/>
    </row>
    <row r="5">
      <c r="A5" s="8" t="n">
        <v>2</v>
      </c>
      <c r="B5" s="8" t="inlineStr">
        <is>
          <t>Foundational arithmetic</t>
        </is>
      </c>
      <c r="C5" s="8" t="inlineStr">
        <is>
          <t>Beginner</t>
        </is>
      </c>
      <c r="D5" s="8" t="n">
        <v>6</v>
      </c>
      <c r="E5" s="8" t="n"/>
      <c r="F5" s="8" t="n"/>
      <c r="G5" s="9">
        <f>IF(E5&lt;&gt;"",E5/8,"")</f>
        <v/>
      </c>
      <c r="H5" s="8">
        <f>IF(F5&lt;&gt;"",IF(F5&lt;=D5,"Yes","No"),"")</f>
        <v/>
      </c>
      <c r="I5" s="8" t="n"/>
    </row>
    <row r="6">
      <c r="A6" s="4" t="n">
        <v>3</v>
      </c>
      <c r="B6" s="4" t="inlineStr">
        <is>
          <t>Foundational arithmetic</t>
        </is>
      </c>
      <c r="C6" s="4" t="inlineStr">
        <is>
          <t>Beginner</t>
        </is>
      </c>
      <c r="D6" s="4" t="n">
        <v>6</v>
      </c>
      <c r="E6" s="4" t="n"/>
      <c r="F6" s="4" t="n"/>
      <c r="G6" s="5">
        <f>IF(E6&lt;&gt;"",E6/8,"")</f>
        <v/>
      </c>
      <c r="H6" s="4">
        <f>IF(F6&lt;&gt;"",IF(F6&lt;=D6,"Yes","No"),"")</f>
        <v/>
      </c>
      <c r="I6" s="4" t="n"/>
    </row>
    <row r="7">
      <c r="A7" s="8" t="n">
        <v>4</v>
      </c>
      <c r="B7" s="8" t="inlineStr">
        <is>
          <t>Foundational arithmetic</t>
        </is>
      </c>
      <c r="C7" s="8" t="inlineStr">
        <is>
          <t>Intermediate</t>
        </is>
      </c>
      <c r="D7" s="8" t="n">
        <v>10</v>
      </c>
      <c r="E7" s="8" t="n"/>
      <c r="F7" s="8" t="n"/>
      <c r="G7" s="9">
        <f>IF(E7&lt;&gt;"",E7/8,"")</f>
        <v/>
      </c>
      <c r="H7" s="8">
        <f>IF(F7&lt;&gt;"",IF(F7&lt;=D7,"Yes","No"),"")</f>
        <v/>
      </c>
      <c r="I7" s="8" t="n"/>
    </row>
    <row r="8">
      <c r="A8" s="4" t="n">
        <v>5</v>
      </c>
      <c r="B8" s="4" t="inlineStr">
        <is>
          <t>Foundational arithmetic</t>
        </is>
      </c>
      <c r="C8" s="4" t="inlineStr">
        <is>
          <t>Intermediate</t>
        </is>
      </c>
      <c r="D8" s="4" t="n">
        <v>10</v>
      </c>
      <c r="E8" s="4" t="n"/>
      <c r="F8" s="4" t="n"/>
      <c r="G8" s="5">
        <f>IF(E8&lt;&gt;"",E8/8,"")</f>
        <v/>
      </c>
      <c r="H8" s="4">
        <f>IF(F8&lt;&gt;"",IF(F8&lt;=D8,"Yes","No"),"")</f>
        <v/>
      </c>
      <c r="I8" s="4" t="n"/>
    </row>
    <row r="9">
      <c r="A9" s="8" t="n">
        <v>6</v>
      </c>
      <c r="B9" s="8" t="inlineStr">
        <is>
          <t>Foundational arithmetic</t>
        </is>
      </c>
      <c r="C9" s="8" t="inlineStr">
        <is>
          <t>Intermediate</t>
        </is>
      </c>
      <c r="D9" s="8" t="n">
        <v>10</v>
      </c>
      <c r="E9" s="8" t="n"/>
      <c r="F9" s="8" t="n"/>
      <c r="G9" s="9">
        <f>IF(E9&lt;&gt;"",E9/8,"")</f>
        <v/>
      </c>
      <c r="H9" s="8">
        <f>IF(F9&lt;&gt;"",IF(F9&lt;=D9,"Yes","No"),"")</f>
        <v/>
      </c>
      <c r="I9" s="8" t="n"/>
    </row>
    <row r="10">
      <c r="A10" s="4" t="n">
        <v>7</v>
      </c>
      <c r="B10" s="4" t="inlineStr">
        <is>
          <t>Foundational arithmetic</t>
        </is>
      </c>
      <c r="C10" s="4" t="inlineStr">
        <is>
          <t>Intermediate</t>
        </is>
      </c>
      <c r="D10" s="4" t="n">
        <v>10</v>
      </c>
      <c r="E10" s="4" t="n"/>
      <c r="F10" s="4" t="n"/>
      <c r="G10" s="5">
        <f>IF(E10&lt;&gt;"",E10/8,"")</f>
        <v/>
      </c>
      <c r="H10" s="4">
        <f>IF(F10&lt;&gt;"",IF(F10&lt;=D10,"Yes","No"),"")</f>
        <v/>
      </c>
      <c r="I10" s="4" t="n"/>
    </row>
    <row r="11">
      <c r="A11" s="8" t="n">
        <v>8</v>
      </c>
      <c r="B11" s="8" t="inlineStr">
        <is>
          <t>Foundational arithmetic</t>
        </is>
      </c>
      <c r="C11" s="8" t="inlineStr">
        <is>
          <t>Advanced</t>
        </is>
      </c>
      <c r="D11" s="8" t="n">
        <v>16</v>
      </c>
      <c r="E11" s="8" t="n"/>
      <c r="F11" s="8" t="n"/>
      <c r="G11" s="9">
        <f>IF(E11&lt;&gt;"",E11/8,"")</f>
        <v/>
      </c>
      <c r="H11" s="8">
        <f>IF(F11&lt;&gt;"",IF(F11&lt;=D11,"Yes","No"),"")</f>
        <v/>
      </c>
      <c r="I11" s="8" t="n"/>
    </row>
    <row r="12">
      <c r="A12" s="4" t="n">
        <v>9</v>
      </c>
      <c r="B12" s="4" t="inlineStr">
        <is>
          <t>Foundational arithmetic</t>
        </is>
      </c>
      <c r="C12" s="4" t="inlineStr">
        <is>
          <t>Advanced</t>
        </is>
      </c>
      <c r="D12" s="4" t="n">
        <v>16</v>
      </c>
      <c r="E12" s="4" t="n"/>
      <c r="F12" s="4" t="n"/>
      <c r="G12" s="5">
        <f>IF(E12&lt;&gt;"",E12/8,"")</f>
        <v/>
      </c>
      <c r="H12" s="4">
        <f>IF(F12&lt;&gt;"",IF(F12&lt;=D12,"Yes","No"),"")</f>
        <v/>
      </c>
      <c r="I12" s="4" t="n"/>
    </row>
    <row r="13">
      <c r="A13" s="8" t="n">
        <v>10</v>
      </c>
      <c r="B13" s="8" t="inlineStr">
        <is>
          <t>Foundational arithmetic</t>
        </is>
      </c>
      <c r="C13" s="8" t="inlineStr">
        <is>
          <t>Advanced</t>
        </is>
      </c>
      <c r="D13" s="8" t="n">
        <v>16</v>
      </c>
      <c r="E13" s="8" t="n"/>
      <c r="F13" s="8" t="n"/>
      <c r="G13" s="9">
        <f>IF(E13&lt;&gt;"",E13/8,"")</f>
        <v/>
      </c>
      <c r="H13" s="8">
        <f>IF(F13&lt;&gt;"",IF(F13&lt;=D13,"Yes","No"),"")</f>
        <v/>
      </c>
      <c r="I13" s="8" t="n"/>
    </row>
    <row r="14">
      <c r="A14" s="4" t="n">
        <v>11</v>
      </c>
      <c r="B14" s="4" t="inlineStr">
        <is>
          <t>Multiplication and division</t>
        </is>
      </c>
      <c r="C14" s="4" t="inlineStr">
        <is>
          <t>Beginner</t>
        </is>
      </c>
      <c r="D14" s="4" t="n">
        <v>6</v>
      </c>
      <c r="E14" s="4" t="n"/>
      <c r="F14" s="4" t="n"/>
      <c r="G14" s="5">
        <f>IF(E14&lt;&gt;"",E14/8,"")</f>
        <v/>
      </c>
      <c r="H14" s="4">
        <f>IF(F14&lt;&gt;"",IF(F14&lt;=D14,"Yes","No"),"")</f>
        <v/>
      </c>
      <c r="I14" s="4" t="n"/>
    </row>
    <row r="15">
      <c r="A15" s="8" t="n">
        <v>12</v>
      </c>
      <c r="B15" s="8" t="inlineStr">
        <is>
          <t>Multiplication and division</t>
        </is>
      </c>
      <c r="C15" s="8" t="inlineStr">
        <is>
          <t>Beginner</t>
        </is>
      </c>
      <c r="D15" s="8" t="n">
        <v>6</v>
      </c>
      <c r="E15" s="8" t="n"/>
      <c r="F15" s="8" t="n"/>
      <c r="G15" s="9">
        <f>IF(E15&lt;&gt;"",E15/8,"")</f>
        <v/>
      </c>
      <c r="H15" s="8">
        <f>IF(F15&lt;&gt;"",IF(F15&lt;=D15,"Yes","No"),"")</f>
        <v/>
      </c>
      <c r="I15" s="8" t="n"/>
    </row>
    <row r="16">
      <c r="A16" s="4" t="n">
        <v>13</v>
      </c>
      <c r="B16" s="4" t="inlineStr">
        <is>
          <t>Multiplication and division</t>
        </is>
      </c>
      <c r="C16" s="4" t="inlineStr">
        <is>
          <t>Beginner</t>
        </is>
      </c>
      <c r="D16" s="4" t="n">
        <v>6</v>
      </c>
      <c r="E16" s="4" t="n"/>
      <c r="F16" s="4" t="n"/>
      <c r="G16" s="5">
        <f>IF(E16&lt;&gt;"",E16/8,"")</f>
        <v/>
      </c>
      <c r="H16" s="4">
        <f>IF(F16&lt;&gt;"",IF(F16&lt;=D16,"Yes","No"),"")</f>
        <v/>
      </c>
      <c r="I16" s="4" t="n"/>
    </row>
    <row r="17">
      <c r="A17" s="8" t="n">
        <v>14</v>
      </c>
      <c r="B17" s="8" t="inlineStr">
        <is>
          <t>Multiplication and division</t>
        </is>
      </c>
      <c r="C17" s="8" t="inlineStr">
        <is>
          <t>Intermediate</t>
        </is>
      </c>
      <c r="D17" s="8" t="n">
        <v>10</v>
      </c>
      <c r="E17" s="8" t="n"/>
      <c r="F17" s="8" t="n"/>
      <c r="G17" s="9">
        <f>IF(E17&lt;&gt;"",E17/8,"")</f>
        <v/>
      </c>
      <c r="H17" s="8">
        <f>IF(F17&lt;&gt;"",IF(F17&lt;=D17,"Yes","No"),"")</f>
        <v/>
      </c>
      <c r="I17" s="8" t="n"/>
    </row>
    <row r="18">
      <c r="A18" s="4" t="n">
        <v>15</v>
      </c>
      <c r="B18" s="4" t="inlineStr">
        <is>
          <t>Multiplication and division</t>
        </is>
      </c>
      <c r="C18" s="4" t="inlineStr">
        <is>
          <t>Intermediate</t>
        </is>
      </c>
      <c r="D18" s="4" t="n">
        <v>10</v>
      </c>
      <c r="E18" s="4" t="n"/>
      <c r="F18" s="4" t="n"/>
      <c r="G18" s="5">
        <f>IF(E18&lt;&gt;"",E18/8,"")</f>
        <v/>
      </c>
      <c r="H18" s="4">
        <f>IF(F18&lt;&gt;"",IF(F18&lt;=D18,"Yes","No"),"")</f>
        <v/>
      </c>
      <c r="I18" s="4" t="n"/>
    </row>
    <row r="19">
      <c r="A19" s="8" t="n">
        <v>16</v>
      </c>
      <c r="B19" s="8" t="inlineStr">
        <is>
          <t>Multiplication and division</t>
        </is>
      </c>
      <c r="C19" s="8" t="inlineStr">
        <is>
          <t>Intermediate</t>
        </is>
      </c>
      <c r="D19" s="8" t="n">
        <v>10</v>
      </c>
      <c r="E19" s="8" t="n"/>
      <c r="F19" s="8" t="n"/>
      <c r="G19" s="9">
        <f>IF(E19&lt;&gt;"",E19/8,"")</f>
        <v/>
      </c>
      <c r="H19" s="8">
        <f>IF(F19&lt;&gt;"",IF(F19&lt;=D19,"Yes","No"),"")</f>
        <v/>
      </c>
      <c r="I19" s="8" t="n"/>
    </row>
    <row r="20">
      <c r="A20" s="4" t="n">
        <v>17</v>
      </c>
      <c r="B20" s="4" t="inlineStr">
        <is>
          <t>Multiplication and division</t>
        </is>
      </c>
      <c r="C20" s="4" t="inlineStr">
        <is>
          <t>Intermediate</t>
        </is>
      </c>
      <c r="D20" s="4" t="n">
        <v>10</v>
      </c>
      <c r="E20" s="4" t="n"/>
      <c r="F20" s="4" t="n"/>
      <c r="G20" s="5">
        <f>IF(E20&lt;&gt;"",E20/8,"")</f>
        <v/>
      </c>
      <c r="H20" s="4">
        <f>IF(F20&lt;&gt;"",IF(F20&lt;=D20,"Yes","No"),"")</f>
        <v/>
      </c>
      <c r="I20" s="4" t="n"/>
    </row>
    <row r="21">
      <c r="A21" s="8" t="n">
        <v>18</v>
      </c>
      <c r="B21" s="8" t="inlineStr">
        <is>
          <t>Multiplication and division</t>
        </is>
      </c>
      <c r="C21" s="8" t="inlineStr">
        <is>
          <t>Advanced</t>
        </is>
      </c>
      <c r="D21" s="8" t="n">
        <v>16</v>
      </c>
      <c r="E21" s="8" t="n"/>
      <c r="F21" s="8" t="n"/>
      <c r="G21" s="9">
        <f>IF(E21&lt;&gt;"",E21/8,"")</f>
        <v/>
      </c>
      <c r="H21" s="8">
        <f>IF(F21&lt;&gt;"",IF(F21&lt;=D21,"Yes","No"),"")</f>
        <v/>
      </c>
      <c r="I21" s="8" t="n"/>
    </row>
    <row r="22">
      <c r="A22" s="4" t="n">
        <v>19</v>
      </c>
      <c r="B22" s="4" t="inlineStr">
        <is>
          <t>Multiplication and division</t>
        </is>
      </c>
      <c r="C22" s="4" t="inlineStr">
        <is>
          <t>Advanced</t>
        </is>
      </c>
      <c r="D22" s="4" t="n">
        <v>16</v>
      </c>
      <c r="E22" s="4" t="n"/>
      <c r="F22" s="4" t="n"/>
      <c r="G22" s="5">
        <f>IF(E22&lt;&gt;"",E22/8,"")</f>
        <v/>
      </c>
      <c r="H22" s="4">
        <f>IF(F22&lt;&gt;"",IF(F22&lt;=D22,"Yes","No"),"")</f>
        <v/>
      </c>
      <c r="I22" s="4" t="n"/>
    </row>
    <row r="23">
      <c r="A23" s="8" t="n">
        <v>20</v>
      </c>
      <c r="B23" s="8" t="inlineStr">
        <is>
          <t>Multiplication and division</t>
        </is>
      </c>
      <c r="C23" s="8" t="inlineStr">
        <is>
          <t>Advanced</t>
        </is>
      </c>
      <c r="D23" s="8" t="n">
        <v>16</v>
      </c>
      <c r="E23" s="8" t="n"/>
      <c r="F23" s="8" t="n"/>
      <c r="G23" s="9">
        <f>IF(E23&lt;&gt;"",E23/8,"")</f>
        <v/>
      </c>
      <c r="H23" s="8">
        <f>IF(F23&lt;&gt;"",IF(F23&lt;=D23,"Yes","No"),"")</f>
        <v/>
      </c>
      <c r="I23" s="8" t="n"/>
    </row>
    <row r="24">
      <c r="A24" s="4" t="n">
        <v>21</v>
      </c>
      <c r="B24" s="4" t="inlineStr">
        <is>
          <t>Squares, cubes and roots</t>
        </is>
      </c>
      <c r="C24" s="4" t="inlineStr">
        <is>
          <t>Beginner</t>
        </is>
      </c>
      <c r="D24" s="4" t="n">
        <v>6</v>
      </c>
      <c r="E24" s="4" t="n"/>
      <c r="F24" s="4" t="n"/>
      <c r="G24" s="5">
        <f>IF(E24&lt;&gt;"",E24/8,"")</f>
        <v/>
      </c>
      <c r="H24" s="4">
        <f>IF(F24&lt;&gt;"",IF(F24&lt;=D24,"Yes","No"),"")</f>
        <v/>
      </c>
      <c r="I24" s="4" t="n"/>
    </row>
    <row r="25">
      <c r="A25" s="8" t="n">
        <v>22</v>
      </c>
      <c r="B25" s="8" t="inlineStr">
        <is>
          <t>Squares, cubes and roots</t>
        </is>
      </c>
      <c r="C25" s="8" t="inlineStr">
        <is>
          <t>Beginner</t>
        </is>
      </c>
      <c r="D25" s="8" t="n">
        <v>6</v>
      </c>
      <c r="E25" s="8" t="n"/>
      <c r="F25" s="8" t="n"/>
      <c r="G25" s="9">
        <f>IF(E25&lt;&gt;"",E25/8,"")</f>
        <v/>
      </c>
      <c r="H25" s="8">
        <f>IF(F25&lt;&gt;"",IF(F25&lt;=D25,"Yes","No"),"")</f>
        <v/>
      </c>
      <c r="I25" s="8" t="n"/>
    </row>
    <row r="26">
      <c r="A26" s="4" t="n">
        <v>23</v>
      </c>
      <c r="B26" s="4" t="inlineStr">
        <is>
          <t>Squares, cubes and roots</t>
        </is>
      </c>
      <c r="C26" s="4" t="inlineStr">
        <is>
          <t>Beginner</t>
        </is>
      </c>
      <c r="D26" s="4" t="n">
        <v>6</v>
      </c>
      <c r="E26" s="4" t="n"/>
      <c r="F26" s="4" t="n"/>
      <c r="G26" s="5">
        <f>IF(E26&lt;&gt;"",E26/8,"")</f>
        <v/>
      </c>
      <c r="H26" s="4">
        <f>IF(F26&lt;&gt;"",IF(F26&lt;=D26,"Yes","No"),"")</f>
        <v/>
      </c>
      <c r="I26" s="4" t="n"/>
    </row>
    <row r="27">
      <c r="A27" s="8" t="n">
        <v>24</v>
      </c>
      <c r="B27" s="8" t="inlineStr">
        <is>
          <t>Squares, cubes and roots</t>
        </is>
      </c>
      <c r="C27" s="8" t="inlineStr">
        <is>
          <t>Intermediate</t>
        </is>
      </c>
      <c r="D27" s="8" t="n">
        <v>10</v>
      </c>
      <c r="E27" s="8" t="n"/>
      <c r="F27" s="8" t="n"/>
      <c r="G27" s="9">
        <f>IF(E27&lt;&gt;"",E27/8,"")</f>
        <v/>
      </c>
      <c r="H27" s="8">
        <f>IF(F27&lt;&gt;"",IF(F27&lt;=D27,"Yes","No"),"")</f>
        <v/>
      </c>
      <c r="I27" s="8" t="n"/>
    </row>
    <row r="28">
      <c r="A28" s="4" t="n">
        <v>25</v>
      </c>
      <c r="B28" s="4" t="inlineStr">
        <is>
          <t>Squares, cubes and roots</t>
        </is>
      </c>
      <c r="C28" s="4" t="inlineStr">
        <is>
          <t>Intermediate</t>
        </is>
      </c>
      <c r="D28" s="4" t="n">
        <v>10</v>
      </c>
      <c r="E28" s="4" t="n"/>
      <c r="F28" s="4" t="n"/>
      <c r="G28" s="5">
        <f>IF(E28&lt;&gt;"",E28/8,"")</f>
        <v/>
      </c>
      <c r="H28" s="4">
        <f>IF(F28&lt;&gt;"",IF(F28&lt;=D28,"Yes","No"),"")</f>
        <v/>
      </c>
      <c r="I28" s="4" t="n"/>
    </row>
    <row r="29">
      <c r="A29" s="8" t="n">
        <v>26</v>
      </c>
      <c r="B29" s="8" t="inlineStr">
        <is>
          <t>Squares, cubes and roots</t>
        </is>
      </c>
      <c r="C29" s="8" t="inlineStr">
        <is>
          <t>Intermediate</t>
        </is>
      </c>
      <c r="D29" s="8" t="n">
        <v>10</v>
      </c>
      <c r="E29" s="8" t="n"/>
      <c r="F29" s="8" t="n"/>
      <c r="G29" s="9">
        <f>IF(E29&lt;&gt;"",E29/8,"")</f>
        <v/>
      </c>
      <c r="H29" s="8">
        <f>IF(F29&lt;&gt;"",IF(F29&lt;=D29,"Yes","No"),"")</f>
        <v/>
      </c>
      <c r="I29" s="8" t="n"/>
    </row>
    <row r="30">
      <c r="A30" s="4" t="n">
        <v>27</v>
      </c>
      <c r="B30" s="4" t="inlineStr">
        <is>
          <t>Squares, cubes and roots</t>
        </is>
      </c>
      <c r="C30" s="4" t="inlineStr">
        <is>
          <t>Intermediate</t>
        </is>
      </c>
      <c r="D30" s="4" t="n">
        <v>10</v>
      </c>
      <c r="E30" s="4" t="n"/>
      <c r="F30" s="4" t="n"/>
      <c r="G30" s="5">
        <f>IF(E30&lt;&gt;"",E30/8,"")</f>
        <v/>
      </c>
      <c r="H30" s="4">
        <f>IF(F30&lt;&gt;"",IF(F30&lt;=D30,"Yes","No"),"")</f>
        <v/>
      </c>
      <c r="I30" s="4" t="n"/>
    </row>
    <row r="31">
      <c r="A31" s="8" t="n">
        <v>28</v>
      </c>
      <c r="B31" s="8" t="inlineStr">
        <is>
          <t>Squares, cubes and roots</t>
        </is>
      </c>
      <c r="C31" s="8" t="inlineStr">
        <is>
          <t>Advanced</t>
        </is>
      </c>
      <c r="D31" s="8" t="n">
        <v>16</v>
      </c>
      <c r="E31" s="8" t="n"/>
      <c r="F31" s="8" t="n"/>
      <c r="G31" s="9">
        <f>IF(E31&lt;&gt;"",E31/8,"")</f>
        <v/>
      </c>
      <c r="H31" s="8">
        <f>IF(F31&lt;&gt;"",IF(F31&lt;=D31,"Yes","No"),"")</f>
        <v/>
      </c>
      <c r="I31" s="8" t="n"/>
    </row>
    <row r="32">
      <c r="A32" s="4" t="n">
        <v>29</v>
      </c>
      <c r="B32" s="4" t="inlineStr">
        <is>
          <t>Squares, cubes and roots</t>
        </is>
      </c>
      <c r="C32" s="4" t="inlineStr">
        <is>
          <t>Advanced</t>
        </is>
      </c>
      <c r="D32" s="4" t="n">
        <v>16</v>
      </c>
      <c r="E32" s="4" t="n"/>
      <c r="F32" s="4" t="n"/>
      <c r="G32" s="5">
        <f>IF(E32&lt;&gt;"",E32/8,"")</f>
        <v/>
      </c>
      <c r="H32" s="4">
        <f>IF(F32&lt;&gt;"",IF(F32&lt;=D32,"Yes","No"),"")</f>
        <v/>
      </c>
      <c r="I32" s="4" t="n"/>
    </row>
    <row r="33">
      <c r="A33" s="8" t="n">
        <v>30</v>
      </c>
      <c r="B33" s="8" t="inlineStr">
        <is>
          <t>Squares, cubes and roots</t>
        </is>
      </c>
      <c r="C33" s="8" t="inlineStr">
        <is>
          <t>Advanced</t>
        </is>
      </c>
      <c r="D33" s="8" t="n">
        <v>16</v>
      </c>
      <c r="E33" s="8" t="n"/>
      <c r="F33" s="8" t="n"/>
      <c r="G33" s="9">
        <f>IF(E33&lt;&gt;"",E33/8,"")</f>
        <v/>
      </c>
      <c r="H33" s="8">
        <f>IF(F33&lt;&gt;"",IF(F33&lt;=D33,"Yes","No"),"")</f>
        <v/>
      </c>
      <c r="I33" s="8" t="n"/>
    </row>
    <row r="34">
      <c r="A34" s="4" t="n">
        <v>31</v>
      </c>
      <c r="B34" s="4" t="inlineStr">
        <is>
          <t>Algebra and factorisation</t>
        </is>
      </c>
      <c r="C34" s="4" t="inlineStr">
        <is>
          <t>Beginner</t>
        </is>
      </c>
      <c r="D34" s="4" t="n">
        <v>6</v>
      </c>
      <c r="E34" s="4" t="n"/>
      <c r="F34" s="4" t="n"/>
      <c r="G34" s="5">
        <f>IF(E34&lt;&gt;"",E34/8,"")</f>
        <v/>
      </c>
      <c r="H34" s="4">
        <f>IF(F34&lt;&gt;"",IF(F34&lt;=D34,"Yes","No"),"")</f>
        <v/>
      </c>
      <c r="I34" s="4" t="n"/>
    </row>
    <row r="35">
      <c r="A35" s="8" t="n">
        <v>32</v>
      </c>
      <c r="B35" s="8" t="inlineStr">
        <is>
          <t>Algebra and factorisation</t>
        </is>
      </c>
      <c r="C35" s="8" t="inlineStr">
        <is>
          <t>Beginner</t>
        </is>
      </c>
      <c r="D35" s="8" t="n">
        <v>6</v>
      </c>
      <c r="E35" s="8" t="n"/>
      <c r="F35" s="8" t="n"/>
      <c r="G35" s="9">
        <f>IF(E35&lt;&gt;"",E35/8,"")</f>
        <v/>
      </c>
      <c r="H35" s="8">
        <f>IF(F35&lt;&gt;"",IF(F35&lt;=D35,"Yes","No"),"")</f>
        <v/>
      </c>
      <c r="I35" s="8" t="n"/>
    </row>
    <row r="36">
      <c r="A36" s="4" t="n">
        <v>33</v>
      </c>
      <c r="B36" s="4" t="inlineStr">
        <is>
          <t>Algebra and factorisation</t>
        </is>
      </c>
      <c r="C36" s="4" t="inlineStr">
        <is>
          <t>Beginner</t>
        </is>
      </c>
      <c r="D36" s="4" t="n">
        <v>6</v>
      </c>
      <c r="E36" s="4" t="n"/>
      <c r="F36" s="4" t="n"/>
      <c r="G36" s="5">
        <f>IF(E36&lt;&gt;"",E36/8,"")</f>
        <v/>
      </c>
      <c r="H36" s="4">
        <f>IF(F36&lt;&gt;"",IF(F36&lt;=D36,"Yes","No"),"")</f>
        <v/>
      </c>
      <c r="I36" s="4" t="n"/>
    </row>
    <row r="37">
      <c r="A37" s="8" t="n">
        <v>34</v>
      </c>
      <c r="B37" s="8" t="inlineStr">
        <is>
          <t>Algebra and factorisation</t>
        </is>
      </c>
      <c r="C37" s="8" t="inlineStr">
        <is>
          <t>Intermediate</t>
        </is>
      </c>
      <c r="D37" s="8" t="n">
        <v>10</v>
      </c>
      <c r="E37" s="8" t="n"/>
      <c r="F37" s="8" t="n"/>
      <c r="G37" s="9">
        <f>IF(E37&lt;&gt;"",E37/8,"")</f>
        <v/>
      </c>
      <c r="H37" s="8">
        <f>IF(F37&lt;&gt;"",IF(F37&lt;=D37,"Yes","No"),"")</f>
        <v/>
      </c>
      <c r="I37" s="8" t="n"/>
    </row>
    <row r="38">
      <c r="A38" s="4" t="n">
        <v>35</v>
      </c>
      <c r="B38" s="4" t="inlineStr">
        <is>
          <t>Algebra and factorisation</t>
        </is>
      </c>
      <c r="C38" s="4" t="inlineStr">
        <is>
          <t>Intermediate</t>
        </is>
      </c>
      <c r="D38" s="4" t="n">
        <v>10</v>
      </c>
      <c r="E38" s="4" t="n"/>
      <c r="F38" s="4" t="n"/>
      <c r="G38" s="5">
        <f>IF(E38&lt;&gt;"",E38/8,"")</f>
        <v/>
      </c>
      <c r="H38" s="4">
        <f>IF(F38&lt;&gt;"",IF(F38&lt;=D38,"Yes","No"),"")</f>
        <v/>
      </c>
      <c r="I38" s="4" t="n"/>
    </row>
    <row r="39">
      <c r="A39" s="8" t="n">
        <v>36</v>
      </c>
      <c r="B39" s="8" t="inlineStr">
        <is>
          <t>Algebra and factorisation</t>
        </is>
      </c>
      <c r="C39" s="8" t="inlineStr">
        <is>
          <t>Intermediate</t>
        </is>
      </c>
      <c r="D39" s="8" t="n">
        <v>10</v>
      </c>
      <c r="E39" s="8" t="n"/>
      <c r="F39" s="8" t="n"/>
      <c r="G39" s="9">
        <f>IF(E39&lt;&gt;"",E39/8,"")</f>
        <v/>
      </c>
      <c r="H39" s="8">
        <f>IF(F39&lt;&gt;"",IF(F39&lt;=D39,"Yes","No"),"")</f>
        <v/>
      </c>
      <c r="I39" s="8" t="n"/>
    </row>
    <row r="40">
      <c r="A40" s="4" t="n">
        <v>37</v>
      </c>
      <c r="B40" s="4" t="inlineStr">
        <is>
          <t>Algebra and factorisation</t>
        </is>
      </c>
      <c r="C40" s="4" t="inlineStr">
        <is>
          <t>Intermediate</t>
        </is>
      </c>
      <c r="D40" s="4" t="n">
        <v>10</v>
      </c>
      <c r="E40" s="4" t="n"/>
      <c r="F40" s="4" t="n"/>
      <c r="G40" s="5">
        <f>IF(E40&lt;&gt;"",E40/8,"")</f>
        <v/>
      </c>
      <c r="H40" s="4">
        <f>IF(F40&lt;&gt;"",IF(F40&lt;=D40,"Yes","No"),"")</f>
        <v/>
      </c>
      <c r="I40" s="4" t="n"/>
    </row>
    <row r="41">
      <c r="A41" s="8" t="n">
        <v>38</v>
      </c>
      <c r="B41" s="8" t="inlineStr">
        <is>
          <t>Algebra and factorisation</t>
        </is>
      </c>
      <c r="C41" s="8" t="inlineStr">
        <is>
          <t>Advanced</t>
        </is>
      </c>
      <c r="D41" s="8" t="n">
        <v>16</v>
      </c>
      <c r="E41" s="8" t="n"/>
      <c r="F41" s="8" t="n"/>
      <c r="G41" s="9">
        <f>IF(E41&lt;&gt;"",E41/8,"")</f>
        <v/>
      </c>
      <c r="H41" s="8">
        <f>IF(F41&lt;&gt;"",IF(F41&lt;=D41,"Yes","No"),"")</f>
        <v/>
      </c>
      <c r="I41" s="8" t="n"/>
    </row>
    <row r="42">
      <c r="A42" s="4" t="n">
        <v>39</v>
      </c>
      <c r="B42" s="4" t="inlineStr">
        <is>
          <t>Algebra and factorisation</t>
        </is>
      </c>
      <c r="C42" s="4" t="inlineStr">
        <is>
          <t>Advanced</t>
        </is>
      </c>
      <c r="D42" s="4" t="n">
        <v>16</v>
      </c>
      <c r="E42" s="4" t="n"/>
      <c r="F42" s="4" t="n"/>
      <c r="G42" s="5">
        <f>IF(E42&lt;&gt;"",E42/8,"")</f>
        <v/>
      </c>
      <c r="H42" s="4">
        <f>IF(F42&lt;&gt;"",IF(F42&lt;=D42,"Yes","No"),"")</f>
        <v/>
      </c>
      <c r="I42" s="4" t="n"/>
    </row>
    <row r="43">
      <c r="A43" s="8" t="n">
        <v>40</v>
      </c>
      <c r="B43" s="8" t="inlineStr">
        <is>
          <t>Algebra and factorisation</t>
        </is>
      </c>
      <c r="C43" s="8" t="inlineStr">
        <is>
          <t>Advanced</t>
        </is>
      </c>
      <c r="D43" s="8" t="n">
        <v>16</v>
      </c>
      <c r="E43" s="8" t="n"/>
      <c r="F43" s="8" t="n"/>
      <c r="G43" s="9">
        <f>IF(E43&lt;&gt;"",E43/8,"")</f>
        <v/>
      </c>
      <c r="H43" s="8">
        <f>IF(F43&lt;&gt;"",IF(F43&lt;=D43,"Yes","No"),"")</f>
        <v/>
      </c>
      <c r="I43" s="8" t="n"/>
    </row>
    <row r="44">
      <c r="A44" s="4" t="n">
        <v>41</v>
      </c>
      <c r="B44" s="4" t="inlineStr">
        <is>
          <t>Percentages, ratios and averages</t>
        </is>
      </c>
      <c r="C44" s="4" t="inlineStr">
        <is>
          <t>Beginner</t>
        </is>
      </c>
      <c r="D44" s="4" t="n">
        <v>6</v>
      </c>
      <c r="E44" s="4" t="n"/>
      <c r="F44" s="4" t="n"/>
      <c r="G44" s="5">
        <f>IF(E44&lt;&gt;"",E44/8,"")</f>
        <v/>
      </c>
      <c r="H44" s="4">
        <f>IF(F44&lt;&gt;"",IF(F44&lt;=D44,"Yes","No"),"")</f>
        <v/>
      </c>
      <c r="I44" s="4" t="n"/>
    </row>
    <row r="45">
      <c r="A45" s="8" t="n">
        <v>42</v>
      </c>
      <c r="B45" s="8" t="inlineStr">
        <is>
          <t>Percentages, ratios and averages</t>
        </is>
      </c>
      <c r="C45" s="8" t="inlineStr">
        <is>
          <t>Beginner</t>
        </is>
      </c>
      <c r="D45" s="8" t="n">
        <v>6</v>
      </c>
      <c r="E45" s="8" t="n"/>
      <c r="F45" s="8" t="n"/>
      <c r="G45" s="9">
        <f>IF(E45&lt;&gt;"",E45/8,"")</f>
        <v/>
      </c>
      <c r="H45" s="8">
        <f>IF(F45&lt;&gt;"",IF(F45&lt;=D45,"Yes","No"),"")</f>
        <v/>
      </c>
      <c r="I45" s="8" t="n"/>
    </row>
    <row r="46">
      <c r="A46" s="4" t="n">
        <v>43</v>
      </c>
      <c r="B46" s="4" t="inlineStr">
        <is>
          <t>Percentages, ratios and averages</t>
        </is>
      </c>
      <c r="C46" s="4" t="inlineStr">
        <is>
          <t>Beginner</t>
        </is>
      </c>
      <c r="D46" s="4" t="n">
        <v>6</v>
      </c>
      <c r="E46" s="4" t="n"/>
      <c r="F46" s="4" t="n"/>
      <c r="G46" s="5">
        <f>IF(E46&lt;&gt;"",E46/8,"")</f>
        <v/>
      </c>
      <c r="H46" s="4">
        <f>IF(F46&lt;&gt;"",IF(F46&lt;=D46,"Yes","No"),"")</f>
        <v/>
      </c>
      <c r="I46" s="4" t="n"/>
    </row>
    <row r="47">
      <c r="A47" s="8" t="n">
        <v>44</v>
      </c>
      <c r="B47" s="8" t="inlineStr">
        <is>
          <t>Percentages, ratios and averages</t>
        </is>
      </c>
      <c r="C47" s="8" t="inlineStr">
        <is>
          <t>Intermediate</t>
        </is>
      </c>
      <c r="D47" s="8" t="n">
        <v>10</v>
      </c>
      <c r="E47" s="8" t="n"/>
      <c r="F47" s="8" t="n"/>
      <c r="G47" s="9">
        <f>IF(E47&lt;&gt;"",E47/8,"")</f>
        <v/>
      </c>
      <c r="H47" s="8">
        <f>IF(F47&lt;&gt;"",IF(F47&lt;=D47,"Yes","No"),"")</f>
        <v/>
      </c>
      <c r="I47" s="8" t="n"/>
    </row>
    <row r="48">
      <c r="A48" s="4" t="n">
        <v>45</v>
      </c>
      <c r="B48" s="4" t="inlineStr">
        <is>
          <t>Percentages, ratios and averages</t>
        </is>
      </c>
      <c r="C48" s="4" t="inlineStr">
        <is>
          <t>Intermediate</t>
        </is>
      </c>
      <c r="D48" s="4" t="n">
        <v>10</v>
      </c>
      <c r="E48" s="4" t="n"/>
      <c r="F48" s="4" t="n"/>
      <c r="G48" s="5">
        <f>IF(E48&lt;&gt;"",E48/8,"")</f>
        <v/>
      </c>
      <c r="H48" s="4">
        <f>IF(F48&lt;&gt;"",IF(F48&lt;=D48,"Yes","No"),"")</f>
        <v/>
      </c>
      <c r="I48" s="4" t="n"/>
    </row>
    <row r="49">
      <c r="A49" s="8" t="n">
        <v>46</v>
      </c>
      <c r="B49" s="8" t="inlineStr">
        <is>
          <t>Percentages, ratios and averages</t>
        </is>
      </c>
      <c r="C49" s="8" t="inlineStr">
        <is>
          <t>Intermediate</t>
        </is>
      </c>
      <c r="D49" s="8" t="n">
        <v>10</v>
      </c>
      <c r="E49" s="8" t="n"/>
      <c r="F49" s="8" t="n"/>
      <c r="G49" s="9">
        <f>IF(E49&lt;&gt;"",E49/8,"")</f>
        <v/>
      </c>
      <c r="H49" s="8">
        <f>IF(F49&lt;&gt;"",IF(F49&lt;=D49,"Yes","No"),"")</f>
        <v/>
      </c>
      <c r="I49" s="8" t="n"/>
    </row>
    <row r="50">
      <c r="A50" s="4" t="n">
        <v>47</v>
      </c>
      <c r="B50" s="4" t="inlineStr">
        <is>
          <t>Percentages, ratios and averages</t>
        </is>
      </c>
      <c r="C50" s="4" t="inlineStr">
        <is>
          <t>Intermediate</t>
        </is>
      </c>
      <c r="D50" s="4" t="n">
        <v>10</v>
      </c>
      <c r="E50" s="4" t="n"/>
      <c r="F50" s="4" t="n"/>
      <c r="G50" s="5">
        <f>IF(E50&lt;&gt;"",E50/8,"")</f>
        <v/>
      </c>
      <c r="H50" s="4">
        <f>IF(F50&lt;&gt;"",IF(F50&lt;=D50,"Yes","No"),"")</f>
        <v/>
      </c>
      <c r="I50" s="4" t="n"/>
    </row>
    <row r="51">
      <c r="A51" s="8" t="n">
        <v>48</v>
      </c>
      <c r="B51" s="8" t="inlineStr">
        <is>
          <t>Percentages, ratios and averages</t>
        </is>
      </c>
      <c r="C51" s="8" t="inlineStr">
        <is>
          <t>Advanced</t>
        </is>
      </c>
      <c r="D51" s="8" t="n">
        <v>16</v>
      </c>
      <c r="E51" s="8" t="n"/>
      <c r="F51" s="8" t="n"/>
      <c r="G51" s="9">
        <f>IF(E51&lt;&gt;"",E51/8,"")</f>
        <v/>
      </c>
      <c r="H51" s="8">
        <f>IF(F51&lt;&gt;"",IF(F51&lt;=D51,"Yes","No"),"")</f>
        <v/>
      </c>
      <c r="I51" s="8" t="n"/>
    </row>
    <row r="52">
      <c r="A52" s="4" t="n">
        <v>49</v>
      </c>
      <c r="B52" s="4" t="inlineStr">
        <is>
          <t>Percentages, ratios and averages</t>
        </is>
      </c>
      <c r="C52" s="4" t="inlineStr">
        <is>
          <t>Advanced</t>
        </is>
      </c>
      <c r="D52" s="4" t="n">
        <v>16</v>
      </c>
      <c r="E52" s="4" t="n"/>
      <c r="F52" s="4" t="n"/>
      <c r="G52" s="5">
        <f>IF(E52&lt;&gt;"",E52/8,"")</f>
        <v/>
      </c>
      <c r="H52" s="4">
        <f>IF(F52&lt;&gt;"",IF(F52&lt;=D52,"Yes","No"),"")</f>
        <v/>
      </c>
      <c r="I52" s="4" t="n"/>
    </row>
    <row r="53">
      <c r="A53" s="8" t="n">
        <v>50</v>
      </c>
      <c r="B53" s="8" t="inlineStr">
        <is>
          <t>Percentages, ratios and averages</t>
        </is>
      </c>
      <c r="C53" s="8" t="inlineStr">
        <is>
          <t>Advanced</t>
        </is>
      </c>
      <c r="D53" s="8" t="n">
        <v>16</v>
      </c>
      <c r="E53" s="8" t="n"/>
      <c r="F53" s="8" t="n"/>
      <c r="G53" s="9">
        <f>IF(E53&lt;&gt;"",E53/8,"")</f>
        <v/>
      </c>
      <c r="H53" s="8">
        <f>IF(F53&lt;&gt;"",IF(F53&lt;=D53,"Yes","No"),"")</f>
        <v/>
      </c>
      <c r="I53" s="8" t="n"/>
    </row>
    <row r="54">
      <c r="A54" s="4" t="n">
        <v>51</v>
      </c>
      <c r="B54" s="4" t="inlineStr">
        <is>
          <t>Government-exam mixed aptitude</t>
        </is>
      </c>
      <c r="C54" s="4" t="inlineStr">
        <is>
          <t>Beginner</t>
        </is>
      </c>
      <c r="D54" s="4" t="n">
        <v>6</v>
      </c>
      <c r="E54" s="4" t="n"/>
      <c r="F54" s="4" t="n"/>
      <c r="G54" s="5">
        <f>IF(E54&lt;&gt;"",E54/8,"")</f>
        <v/>
      </c>
      <c r="H54" s="4">
        <f>IF(F54&lt;&gt;"",IF(F54&lt;=D54,"Yes","No"),"")</f>
        <v/>
      </c>
      <c r="I54" s="4" t="n"/>
    </row>
    <row r="55">
      <c r="A55" s="8" t="n">
        <v>52</v>
      </c>
      <c r="B55" s="8" t="inlineStr">
        <is>
          <t>Government-exam mixed aptitude</t>
        </is>
      </c>
      <c r="C55" s="8" t="inlineStr">
        <is>
          <t>Beginner</t>
        </is>
      </c>
      <c r="D55" s="8" t="n">
        <v>6</v>
      </c>
      <c r="E55" s="8" t="n"/>
      <c r="F55" s="8" t="n"/>
      <c r="G55" s="9">
        <f>IF(E55&lt;&gt;"",E55/8,"")</f>
        <v/>
      </c>
      <c r="H55" s="8">
        <f>IF(F55&lt;&gt;"",IF(F55&lt;=D55,"Yes","No"),"")</f>
        <v/>
      </c>
      <c r="I55" s="8" t="n"/>
    </row>
    <row r="56">
      <c r="A56" s="4" t="n">
        <v>53</v>
      </c>
      <c r="B56" s="4" t="inlineStr">
        <is>
          <t>Government-exam mixed aptitude</t>
        </is>
      </c>
      <c r="C56" s="4" t="inlineStr">
        <is>
          <t>Beginner</t>
        </is>
      </c>
      <c r="D56" s="4" t="n">
        <v>6</v>
      </c>
      <c r="E56" s="4" t="n"/>
      <c r="F56" s="4" t="n"/>
      <c r="G56" s="5">
        <f>IF(E56&lt;&gt;"",E56/8,"")</f>
        <v/>
      </c>
      <c r="H56" s="4">
        <f>IF(F56&lt;&gt;"",IF(F56&lt;=D56,"Yes","No"),"")</f>
        <v/>
      </c>
      <c r="I56" s="4" t="n"/>
    </row>
    <row r="57">
      <c r="A57" s="8" t="n">
        <v>54</v>
      </c>
      <c r="B57" s="8" t="inlineStr">
        <is>
          <t>Government-exam mixed aptitude</t>
        </is>
      </c>
      <c r="C57" s="8" t="inlineStr">
        <is>
          <t>Intermediate</t>
        </is>
      </c>
      <c r="D57" s="8" t="n">
        <v>10</v>
      </c>
      <c r="E57" s="8" t="n"/>
      <c r="F57" s="8" t="n"/>
      <c r="G57" s="9">
        <f>IF(E57&lt;&gt;"",E57/8,"")</f>
        <v/>
      </c>
      <c r="H57" s="8">
        <f>IF(F57&lt;&gt;"",IF(F57&lt;=D57,"Yes","No"),"")</f>
        <v/>
      </c>
      <c r="I57" s="8" t="n"/>
    </row>
    <row r="58">
      <c r="A58" s="4" t="n">
        <v>55</v>
      </c>
      <c r="B58" s="4" t="inlineStr">
        <is>
          <t>Government-exam mixed aptitude</t>
        </is>
      </c>
      <c r="C58" s="4" t="inlineStr">
        <is>
          <t>Intermediate</t>
        </is>
      </c>
      <c r="D58" s="4" t="n">
        <v>10</v>
      </c>
      <c r="E58" s="4" t="n"/>
      <c r="F58" s="4" t="n"/>
      <c r="G58" s="5">
        <f>IF(E58&lt;&gt;"",E58/8,"")</f>
        <v/>
      </c>
      <c r="H58" s="4">
        <f>IF(F58&lt;&gt;"",IF(F58&lt;=D58,"Yes","No"),"")</f>
        <v/>
      </c>
      <c r="I58" s="4" t="n"/>
    </row>
    <row r="59">
      <c r="A59" s="8" t="n">
        <v>56</v>
      </c>
      <c r="B59" s="8" t="inlineStr">
        <is>
          <t>Government-exam mixed aptitude</t>
        </is>
      </c>
      <c r="C59" s="8" t="inlineStr">
        <is>
          <t>Intermediate</t>
        </is>
      </c>
      <c r="D59" s="8" t="n">
        <v>10</v>
      </c>
      <c r="E59" s="8" t="n"/>
      <c r="F59" s="8" t="n"/>
      <c r="G59" s="9">
        <f>IF(E59&lt;&gt;"",E59/8,"")</f>
        <v/>
      </c>
      <c r="H59" s="8">
        <f>IF(F59&lt;&gt;"",IF(F59&lt;=D59,"Yes","No"),"")</f>
        <v/>
      </c>
      <c r="I59" s="8" t="n"/>
    </row>
    <row r="60">
      <c r="A60" s="4" t="n">
        <v>57</v>
      </c>
      <c r="B60" s="4" t="inlineStr">
        <is>
          <t>Government-exam mixed aptitude</t>
        </is>
      </c>
      <c r="C60" s="4" t="inlineStr">
        <is>
          <t>Intermediate</t>
        </is>
      </c>
      <c r="D60" s="4" t="n">
        <v>10</v>
      </c>
      <c r="E60" s="4" t="n"/>
      <c r="F60" s="4" t="n"/>
      <c r="G60" s="5">
        <f>IF(E60&lt;&gt;"",E60/8,"")</f>
        <v/>
      </c>
      <c r="H60" s="4">
        <f>IF(F60&lt;&gt;"",IF(F60&lt;=D60,"Yes","No"),"")</f>
        <v/>
      </c>
      <c r="I60" s="4" t="n"/>
    </row>
    <row r="61">
      <c r="A61" s="8" t="n">
        <v>58</v>
      </c>
      <c r="B61" s="8" t="inlineStr">
        <is>
          <t>Government-exam mixed aptitude</t>
        </is>
      </c>
      <c r="C61" s="8" t="inlineStr">
        <is>
          <t>Advanced</t>
        </is>
      </c>
      <c r="D61" s="8" t="n">
        <v>16</v>
      </c>
      <c r="E61" s="8" t="n"/>
      <c r="F61" s="8" t="n"/>
      <c r="G61" s="9">
        <f>IF(E61&lt;&gt;"",E61/8,"")</f>
        <v/>
      </c>
      <c r="H61" s="8">
        <f>IF(F61&lt;&gt;"",IF(F61&lt;=D61,"Yes","No"),"")</f>
        <v/>
      </c>
      <c r="I61" s="8" t="n"/>
    </row>
    <row r="62">
      <c r="A62" s="4" t="n">
        <v>59</v>
      </c>
      <c r="B62" s="4" t="inlineStr">
        <is>
          <t>Government-exam mixed aptitude</t>
        </is>
      </c>
      <c r="C62" s="4" t="inlineStr">
        <is>
          <t>Advanced</t>
        </is>
      </c>
      <c r="D62" s="4" t="n">
        <v>16</v>
      </c>
      <c r="E62" s="4" t="n"/>
      <c r="F62" s="4" t="n"/>
      <c r="G62" s="5">
        <f>IF(E62&lt;&gt;"",E62/8,"")</f>
        <v/>
      </c>
      <c r="H62" s="4">
        <f>IF(F62&lt;&gt;"",IF(F62&lt;=D62,"Yes","No"),"")</f>
        <v/>
      </c>
      <c r="I62" s="4" t="n"/>
    </row>
    <row r="63">
      <c r="A63" s="8" t="n">
        <v>60</v>
      </c>
      <c r="B63" s="8" t="inlineStr">
        <is>
          <t>Government-exam mixed aptitude</t>
        </is>
      </c>
      <c r="C63" s="8" t="inlineStr">
        <is>
          <t>Advanced</t>
        </is>
      </c>
      <c r="D63" s="8" t="n">
        <v>16</v>
      </c>
      <c r="E63" s="8" t="n"/>
      <c r="F63" s="8" t="n"/>
      <c r="G63" s="9">
        <f>IF(E63&lt;&gt;"",E63/8,"")</f>
        <v/>
      </c>
      <c r="H63" s="8">
        <f>IF(F63&lt;&gt;"",IF(F63&lt;=D63,"Yes","No"),"")</f>
        <v/>
      </c>
      <c r="I63" s="8" t="n"/>
    </row>
    <row r="64">
      <c r="A64" s="4" t="n">
        <v>61</v>
      </c>
      <c r="B64" s="4" t="inlineStr">
        <is>
          <t>Advanced mental-math challenge</t>
        </is>
      </c>
      <c r="C64" s="4" t="inlineStr">
        <is>
          <t>Beginner</t>
        </is>
      </c>
      <c r="D64" s="4" t="n">
        <v>6</v>
      </c>
      <c r="E64" s="4" t="n"/>
      <c r="F64" s="4" t="n"/>
      <c r="G64" s="5">
        <f>IF(E64&lt;&gt;"",E64/8,"")</f>
        <v/>
      </c>
      <c r="H64" s="4">
        <f>IF(F64&lt;&gt;"",IF(F64&lt;=D64,"Yes","No"),"")</f>
        <v/>
      </c>
      <c r="I64" s="4" t="n"/>
    </row>
    <row r="65">
      <c r="A65" s="8" t="n">
        <v>62</v>
      </c>
      <c r="B65" s="8" t="inlineStr">
        <is>
          <t>Advanced mental-math challenge</t>
        </is>
      </c>
      <c r="C65" s="8" t="inlineStr">
        <is>
          <t>Beginner</t>
        </is>
      </c>
      <c r="D65" s="8" t="n">
        <v>6</v>
      </c>
      <c r="E65" s="8" t="n"/>
      <c r="F65" s="8" t="n"/>
      <c r="G65" s="9">
        <f>IF(E65&lt;&gt;"",E65/8,"")</f>
        <v/>
      </c>
      <c r="H65" s="8">
        <f>IF(F65&lt;&gt;"",IF(F65&lt;=D65,"Yes","No"),"")</f>
        <v/>
      </c>
      <c r="I65" s="8" t="n"/>
    </row>
    <row r="66">
      <c r="A66" s="4" t="n">
        <v>63</v>
      </c>
      <c r="B66" s="4" t="inlineStr">
        <is>
          <t>Advanced mental-math challenge</t>
        </is>
      </c>
      <c r="C66" s="4" t="inlineStr">
        <is>
          <t>Beginner</t>
        </is>
      </c>
      <c r="D66" s="4" t="n">
        <v>6</v>
      </c>
      <c r="E66" s="4" t="n"/>
      <c r="F66" s="4" t="n"/>
      <c r="G66" s="5">
        <f>IF(E66&lt;&gt;"",E66/8,"")</f>
        <v/>
      </c>
      <c r="H66" s="4">
        <f>IF(F66&lt;&gt;"",IF(F66&lt;=D66,"Yes","No"),"")</f>
        <v/>
      </c>
      <c r="I66" s="4" t="n"/>
    </row>
    <row r="67">
      <c r="A67" s="8" t="n">
        <v>64</v>
      </c>
      <c r="B67" s="8" t="inlineStr">
        <is>
          <t>Advanced mental-math challenge</t>
        </is>
      </c>
      <c r="C67" s="8" t="inlineStr">
        <is>
          <t>Intermediate</t>
        </is>
      </c>
      <c r="D67" s="8" t="n">
        <v>10</v>
      </c>
      <c r="E67" s="8" t="n"/>
      <c r="F67" s="8" t="n"/>
      <c r="G67" s="9">
        <f>IF(E67&lt;&gt;"",E67/8,"")</f>
        <v/>
      </c>
      <c r="H67" s="8">
        <f>IF(F67&lt;&gt;"",IF(F67&lt;=D67,"Yes","No"),"")</f>
        <v/>
      </c>
      <c r="I67" s="8" t="n"/>
    </row>
    <row r="68">
      <c r="A68" s="4" t="n">
        <v>65</v>
      </c>
      <c r="B68" s="4" t="inlineStr">
        <is>
          <t>Advanced mental-math challenge</t>
        </is>
      </c>
      <c r="C68" s="4" t="inlineStr">
        <is>
          <t>Intermediate</t>
        </is>
      </c>
      <c r="D68" s="4" t="n">
        <v>10</v>
      </c>
      <c r="E68" s="4" t="n"/>
      <c r="F68" s="4" t="n"/>
      <c r="G68" s="5">
        <f>IF(E68&lt;&gt;"",E68/8,"")</f>
        <v/>
      </c>
      <c r="H68" s="4">
        <f>IF(F68&lt;&gt;"",IF(F68&lt;=D68,"Yes","No"),"")</f>
        <v/>
      </c>
      <c r="I68" s="4" t="n"/>
    </row>
    <row r="69">
      <c r="A69" s="8" t="n">
        <v>66</v>
      </c>
      <c r="B69" s="8" t="inlineStr">
        <is>
          <t>Advanced mental-math challenge</t>
        </is>
      </c>
      <c r="C69" s="8" t="inlineStr">
        <is>
          <t>Intermediate</t>
        </is>
      </c>
      <c r="D69" s="8" t="n">
        <v>10</v>
      </c>
      <c r="E69" s="8" t="n"/>
      <c r="F69" s="8" t="n"/>
      <c r="G69" s="9">
        <f>IF(E69&lt;&gt;"",E69/8,"")</f>
        <v/>
      </c>
      <c r="H69" s="8">
        <f>IF(F69&lt;&gt;"",IF(F69&lt;=D69,"Yes","No"),"")</f>
        <v/>
      </c>
      <c r="I69" s="8" t="n"/>
    </row>
    <row r="70">
      <c r="A70" s="4" t="n">
        <v>67</v>
      </c>
      <c r="B70" s="4" t="inlineStr">
        <is>
          <t>Advanced mental-math challenge</t>
        </is>
      </c>
      <c r="C70" s="4" t="inlineStr">
        <is>
          <t>Intermediate</t>
        </is>
      </c>
      <c r="D70" s="4" t="n">
        <v>10</v>
      </c>
      <c r="E70" s="4" t="n"/>
      <c r="F70" s="4" t="n"/>
      <c r="G70" s="5">
        <f>IF(E70&lt;&gt;"",E70/8,"")</f>
        <v/>
      </c>
      <c r="H70" s="4">
        <f>IF(F70&lt;&gt;"",IF(F70&lt;=D70,"Yes","No"),"")</f>
        <v/>
      </c>
      <c r="I70" s="4" t="n"/>
    </row>
    <row r="71">
      <c r="A71" s="8" t="n">
        <v>68</v>
      </c>
      <c r="B71" s="8" t="inlineStr">
        <is>
          <t>Advanced mental-math challenge</t>
        </is>
      </c>
      <c r="C71" s="8" t="inlineStr">
        <is>
          <t>Advanced</t>
        </is>
      </c>
      <c r="D71" s="8" t="n">
        <v>16</v>
      </c>
      <c r="E71" s="8" t="n"/>
      <c r="F71" s="8" t="n"/>
      <c r="G71" s="9">
        <f>IF(E71&lt;&gt;"",E71/8,"")</f>
        <v/>
      </c>
      <c r="H71" s="8">
        <f>IF(F71&lt;&gt;"",IF(F71&lt;=D71,"Yes","No"),"")</f>
        <v/>
      </c>
      <c r="I71" s="8" t="n"/>
    </row>
    <row r="72">
      <c r="A72" s="4" t="n">
        <v>69</v>
      </c>
      <c r="B72" s="4" t="inlineStr">
        <is>
          <t>Advanced mental-math challenge</t>
        </is>
      </c>
      <c r="C72" s="4" t="inlineStr">
        <is>
          <t>Advanced</t>
        </is>
      </c>
      <c r="D72" s="4" t="n">
        <v>16</v>
      </c>
      <c r="E72" s="4" t="n"/>
      <c r="F72" s="4" t="n"/>
      <c r="G72" s="5">
        <f>IF(E72&lt;&gt;"",E72/8,"")</f>
        <v/>
      </c>
      <c r="H72" s="4">
        <f>IF(F72&lt;&gt;"",IF(F72&lt;=D72,"Yes","No"),"")</f>
        <v/>
      </c>
      <c r="I72" s="4" t="n"/>
    </row>
    <row r="73">
      <c r="A73" s="8" t="n">
        <v>70</v>
      </c>
      <c r="B73" s="8" t="inlineStr">
        <is>
          <t>Advanced mental-math challenge</t>
        </is>
      </c>
      <c r="C73" s="8" t="inlineStr">
        <is>
          <t>Advanced</t>
        </is>
      </c>
      <c r="D73" s="8" t="n">
        <v>16</v>
      </c>
      <c r="E73" s="8" t="n"/>
      <c r="F73" s="8" t="n"/>
      <c r="G73" s="9">
        <f>IF(E73&lt;&gt;"",E73/8,"")</f>
        <v/>
      </c>
      <c r="H73" s="8">
        <f>IF(F73&lt;&gt;"",IF(F73&lt;=D73,"Yes","No"),"")</f>
        <v/>
      </c>
      <c r="I73" s="8" t="n"/>
    </row>
  </sheetData>
  <conditionalFormatting sqref="G4:G73">
    <cfRule type="cellIs" priority="1" operator="greaterThanOrEqual" dxfId="0">
      <formula>0.9</formula>
    </cfRule>
    <cfRule type="cellIs" priority="2" operator="lessThan" dxfId="1">
      <formula>0.7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1" customWidth="1" min="3" max="3"/>
    <col width="11" customWidth="1" min="4" max="4"/>
    <col width="10" customWidth="1" min="5" max="5"/>
    <col width="10" customWidth="1" min="6" max="6"/>
    <col width="14" customWidth="1" min="7" max="7"/>
    <col width="15" customWidth="1" min="8" max="8"/>
    <col width="10" customWidth="1" min="9" max="9"/>
    <col width="11" customWidth="1" min="10" max="10"/>
    <col width="10" customWidth="1" min="11" max="11"/>
    <col width="30" customWidth="1" min="12" max="12"/>
    <col width="18" customWidth="1" min="14" max="14"/>
  </cols>
  <sheetData>
    <row r="1">
      <c r="A1" s="1" t="inlineStr">
        <is>
          <t>Mock test record</t>
        </is>
      </c>
    </row>
    <row r="3" ht="30" customHeight="1">
      <c r="A3" s="2" t="inlineStr">
        <is>
          <t>Date</t>
        </is>
      </c>
      <c r="B3" s="2" t="inlineStr">
        <is>
          <t>Test name</t>
        </is>
      </c>
      <c r="C3" s="2" t="inlineStr">
        <is>
          <t>Questions</t>
        </is>
      </c>
      <c r="D3" s="2" t="inlineStr">
        <is>
          <t>Attempted</t>
        </is>
      </c>
      <c r="E3" s="2" t="inlineStr">
        <is>
          <t>Correct</t>
        </is>
      </c>
      <c r="F3" s="2" t="inlineStr">
        <is>
          <t>Wrong</t>
        </is>
      </c>
      <c r="G3" s="2" t="inlineStr">
        <is>
          <t>Marks / correct</t>
        </is>
      </c>
      <c r="H3" s="2" t="inlineStr">
        <is>
          <t>Negative / wrong</t>
        </is>
      </c>
      <c r="I3" s="2" t="inlineStr">
        <is>
          <t>Score</t>
        </is>
      </c>
      <c r="J3" s="2" t="inlineStr">
        <is>
          <t>Accuracy</t>
        </is>
      </c>
      <c r="K3" s="2" t="inlineStr">
        <is>
          <t>Minutes</t>
        </is>
      </c>
      <c r="L3" s="2" t="inlineStr">
        <is>
          <t>Weakest topic</t>
        </is>
      </c>
      <c r="N3" s="11" t="inlineStr">
        <is>
          <t>Summary</t>
        </is>
      </c>
    </row>
    <row r="4">
      <c r="A4" s="3" t="n"/>
      <c r="B4" s="4" t="n"/>
      <c r="C4" s="4" t="n"/>
      <c r="D4" s="4" t="n"/>
      <c r="E4" s="4" t="n"/>
      <c r="F4" s="4">
        <f>IF(D4&lt;&gt;"",D4-E4,"")</f>
        <v/>
      </c>
      <c r="G4" s="4" t="n"/>
      <c r="H4" s="4" t="n"/>
      <c r="I4" s="4">
        <f>IF(D4&lt;&gt;"",E4*G4-F4*H4,"")</f>
        <v/>
      </c>
      <c r="J4" s="5">
        <f>IF(D4&gt;0,E4/D4,"")</f>
        <v/>
      </c>
      <c r="K4" s="4" t="n"/>
      <c r="L4" s="4" t="n"/>
      <c r="N4" t="inlineStr">
        <is>
          <t>Mocks taken</t>
        </is>
      </c>
      <c r="O4">
        <f>COUNT(I4:I103)</f>
        <v/>
      </c>
    </row>
    <row r="5">
      <c r="A5" s="7" t="n"/>
      <c r="B5" s="8" t="n"/>
      <c r="C5" s="8" t="n"/>
      <c r="D5" s="8" t="n"/>
      <c r="E5" s="8" t="n"/>
      <c r="F5" s="8">
        <f>IF(D5&lt;&gt;"",D5-E5,"")</f>
        <v/>
      </c>
      <c r="G5" s="8" t="n"/>
      <c r="H5" s="8" t="n"/>
      <c r="I5" s="8">
        <f>IF(D5&lt;&gt;"",E5*G5-F5*H5,"")</f>
        <v/>
      </c>
      <c r="J5" s="9">
        <f>IF(D5&gt;0,E5/D5,"")</f>
        <v/>
      </c>
      <c r="K5" s="8" t="n"/>
      <c r="L5" s="8" t="n"/>
      <c r="N5" t="inlineStr">
        <is>
          <t>Average score</t>
        </is>
      </c>
      <c r="O5">
        <f>IFERROR(AVERAGE(I4:I103),"")</f>
        <v/>
      </c>
    </row>
    <row r="6">
      <c r="A6" s="3" t="n"/>
      <c r="B6" s="4" t="n"/>
      <c r="C6" s="4" t="n"/>
      <c r="D6" s="4" t="n"/>
      <c r="E6" s="4" t="n"/>
      <c r="F6" s="4">
        <f>IF(D6&lt;&gt;"",D6-E6,"")</f>
        <v/>
      </c>
      <c r="G6" s="4" t="n"/>
      <c r="H6" s="4" t="n"/>
      <c r="I6" s="4">
        <f>IF(D6&lt;&gt;"",E6*G6-F6*H6,"")</f>
        <v/>
      </c>
      <c r="J6" s="5">
        <f>IF(D6&gt;0,E6/D6,"")</f>
        <v/>
      </c>
      <c r="K6" s="4" t="n"/>
      <c r="L6" s="4" t="n"/>
      <c r="N6" t="inlineStr">
        <is>
          <t>Average accuracy</t>
        </is>
      </c>
      <c r="O6" s="12">
        <f>IFERROR(AVERAGE(J4:J103),"")</f>
        <v/>
      </c>
    </row>
    <row r="7">
      <c r="A7" s="7" t="n"/>
      <c r="B7" s="8" t="n"/>
      <c r="C7" s="8" t="n"/>
      <c r="D7" s="8" t="n"/>
      <c r="E7" s="8" t="n"/>
      <c r="F7" s="8">
        <f>IF(D7&lt;&gt;"",D7-E7,"")</f>
        <v/>
      </c>
      <c r="G7" s="8" t="n"/>
      <c r="H7" s="8" t="n"/>
      <c r="I7" s="8">
        <f>IF(D7&lt;&gt;"",E7*G7-F7*H7,"")</f>
        <v/>
      </c>
      <c r="J7" s="9">
        <f>IF(D7&gt;0,E7/D7,"")</f>
        <v/>
      </c>
      <c r="K7" s="8" t="n"/>
      <c r="L7" s="8" t="n"/>
    </row>
    <row r="8">
      <c r="A8" s="3" t="n"/>
      <c r="B8" s="4" t="n"/>
      <c r="C8" s="4" t="n"/>
      <c r="D8" s="4" t="n"/>
      <c r="E8" s="4" t="n"/>
      <c r="F8" s="4">
        <f>IF(D8&lt;&gt;"",D8-E8,"")</f>
        <v/>
      </c>
      <c r="G8" s="4" t="n"/>
      <c r="H8" s="4" t="n"/>
      <c r="I8" s="4">
        <f>IF(D8&lt;&gt;"",E8*G8-F8*H8,"")</f>
        <v/>
      </c>
      <c r="J8" s="5">
        <f>IF(D8&gt;0,E8/D8,"")</f>
        <v/>
      </c>
      <c r="K8" s="4" t="n"/>
      <c r="L8" s="4" t="n"/>
    </row>
    <row r="9">
      <c r="A9" s="7" t="n"/>
      <c r="B9" s="8" t="n"/>
      <c r="C9" s="8" t="n"/>
      <c r="D9" s="8" t="n"/>
      <c r="E9" s="8" t="n"/>
      <c r="F9" s="8">
        <f>IF(D9&lt;&gt;"",D9-E9,"")</f>
        <v/>
      </c>
      <c r="G9" s="8" t="n"/>
      <c r="H9" s="8" t="n"/>
      <c r="I9" s="8">
        <f>IF(D9&lt;&gt;"",E9*G9-F9*H9,"")</f>
        <v/>
      </c>
      <c r="J9" s="9">
        <f>IF(D9&gt;0,E9/D9,"")</f>
        <v/>
      </c>
      <c r="K9" s="8" t="n"/>
      <c r="L9" s="8" t="n"/>
    </row>
    <row r="10">
      <c r="A10" s="3" t="n"/>
      <c r="B10" s="4" t="n"/>
      <c r="C10" s="4" t="n"/>
      <c r="D10" s="4" t="n"/>
      <c r="E10" s="4" t="n"/>
      <c r="F10" s="4">
        <f>IF(D10&lt;&gt;"",D10-E10,"")</f>
        <v/>
      </c>
      <c r="G10" s="4" t="n"/>
      <c r="H10" s="4" t="n"/>
      <c r="I10" s="4">
        <f>IF(D10&lt;&gt;"",E10*G10-F10*H10,"")</f>
        <v/>
      </c>
      <c r="J10" s="5">
        <f>IF(D10&gt;0,E10/D10,"")</f>
        <v/>
      </c>
      <c r="K10" s="4" t="n"/>
      <c r="L10" s="4" t="n"/>
    </row>
    <row r="11">
      <c r="A11" s="7" t="n"/>
      <c r="B11" s="8" t="n"/>
      <c r="C11" s="8" t="n"/>
      <c r="D11" s="8" t="n"/>
      <c r="E11" s="8" t="n"/>
      <c r="F11" s="8">
        <f>IF(D11&lt;&gt;"",D11-E11,"")</f>
        <v/>
      </c>
      <c r="G11" s="8" t="n"/>
      <c r="H11" s="8" t="n"/>
      <c r="I11" s="8">
        <f>IF(D11&lt;&gt;"",E11*G11-F11*H11,"")</f>
        <v/>
      </c>
      <c r="J11" s="9">
        <f>IF(D11&gt;0,E11/D11,"")</f>
        <v/>
      </c>
      <c r="K11" s="8" t="n"/>
      <c r="L11" s="8" t="n"/>
    </row>
    <row r="12">
      <c r="A12" s="3" t="n"/>
      <c r="B12" s="4" t="n"/>
      <c r="C12" s="4" t="n"/>
      <c r="D12" s="4" t="n"/>
      <c r="E12" s="4" t="n"/>
      <c r="F12" s="4">
        <f>IF(D12&lt;&gt;"",D12-E12,"")</f>
        <v/>
      </c>
      <c r="G12" s="4" t="n"/>
      <c r="H12" s="4" t="n"/>
      <c r="I12" s="4">
        <f>IF(D12&lt;&gt;"",E12*G12-F12*H12,"")</f>
        <v/>
      </c>
      <c r="J12" s="5">
        <f>IF(D12&gt;0,E12/D12,"")</f>
        <v/>
      </c>
      <c r="K12" s="4" t="n"/>
      <c r="L12" s="4" t="n"/>
    </row>
    <row r="13">
      <c r="A13" s="7" t="n"/>
      <c r="B13" s="8" t="n"/>
      <c r="C13" s="8" t="n"/>
      <c r="D13" s="8" t="n"/>
      <c r="E13" s="8" t="n"/>
      <c r="F13" s="8">
        <f>IF(D13&lt;&gt;"",D13-E13,"")</f>
        <v/>
      </c>
      <c r="G13" s="8" t="n"/>
      <c r="H13" s="8" t="n"/>
      <c r="I13" s="8">
        <f>IF(D13&lt;&gt;"",E13*G13-F13*H13,"")</f>
        <v/>
      </c>
      <c r="J13" s="9">
        <f>IF(D13&gt;0,E13/D13,"")</f>
        <v/>
      </c>
      <c r="K13" s="8" t="n"/>
      <c r="L13" s="8" t="n"/>
    </row>
    <row r="14">
      <c r="A14" s="3" t="n"/>
      <c r="B14" s="4" t="n"/>
      <c r="C14" s="4" t="n"/>
      <c r="D14" s="4" t="n"/>
      <c r="E14" s="4" t="n"/>
      <c r="F14" s="4">
        <f>IF(D14&lt;&gt;"",D14-E14,"")</f>
        <v/>
      </c>
      <c r="G14" s="4" t="n"/>
      <c r="H14" s="4" t="n"/>
      <c r="I14" s="4">
        <f>IF(D14&lt;&gt;"",E14*G14-F14*H14,"")</f>
        <v/>
      </c>
      <c r="J14" s="5">
        <f>IF(D14&gt;0,E14/D14,"")</f>
        <v/>
      </c>
      <c r="K14" s="4" t="n"/>
      <c r="L14" s="4" t="n"/>
    </row>
    <row r="15">
      <c r="A15" s="7" t="n"/>
      <c r="B15" s="8" t="n"/>
      <c r="C15" s="8" t="n"/>
      <c r="D15" s="8" t="n"/>
      <c r="E15" s="8" t="n"/>
      <c r="F15" s="8">
        <f>IF(D15&lt;&gt;"",D15-E15,"")</f>
        <v/>
      </c>
      <c r="G15" s="8" t="n"/>
      <c r="H15" s="8" t="n"/>
      <c r="I15" s="8">
        <f>IF(D15&lt;&gt;"",E15*G15-F15*H15,"")</f>
        <v/>
      </c>
      <c r="J15" s="9">
        <f>IF(D15&gt;0,E15/D15,"")</f>
        <v/>
      </c>
      <c r="K15" s="8" t="n"/>
      <c r="L15" s="8" t="n"/>
    </row>
    <row r="16">
      <c r="A16" s="3" t="n"/>
      <c r="B16" s="4" t="n"/>
      <c r="C16" s="4" t="n"/>
      <c r="D16" s="4" t="n"/>
      <c r="E16" s="4" t="n"/>
      <c r="F16" s="4">
        <f>IF(D16&lt;&gt;"",D16-E16,"")</f>
        <v/>
      </c>
      <c r="G16" s="4" t="n"/>
      <c r="H16" s="4" t="n"/>
      <c r="I16" s="4">
        <f>IF(D16&lt;&gt;"",E16*G16-F16*H16,"")</f>
        <v/>
      </c>
      <c r="J16" s="5">
        <f>IF(D16&gt;0,E16/D16,"")</f>
        <v/>
      </c>
      <c r="K16" s="4" t="n"/>
      <c r="L16" s="4" t="n"/>
    </row>
    <row r="17">
      <c r="A17" s="7" t="n"/>
      <c r="B17" s="8" t="n"/>
      <c r="C17" s="8" t="n"/>
      <c r="D17" s="8" t="n"/>
      <c r="E17" s="8" t="n"/>
      <c r="F17" s="8">
        <f>IF(D17&lt;&gt;"",D17-E17,"")</f>
        <v/>
      </c>
      <c r="G17" s="8" t="n"/>
      <c r="H17" s="8" t="n"/>
      <c r="I17" s="8">
        <f>IF(D17&lt;&gt;"",E17*G17-F17*H17,"")</f>
        <v/>
      </c>
      <c r="J17" s="9">
        <f>IF(D17&gt;0,E17/D17,"")</f>
        <v/>
      </c>
      <c r="K17" s="8" t="n"/>
      <c r="L17" s="8" t="n"/>
    </row>
    <row r="18">
      <c r="A18" s="3" t="n"/>
      <c r="B18" s="4" t="n"/>
      <c r="C18" s="4" t="n"/>
      <c r="D18" s="4" t="n"/>
      <c r="E18" s="4" t="n"/>
      <c r="F18" s="4">
        <f>IF(D18&lt;&gt;"",D18-E18,"")</f>
        <v/>
      </c>
      <c r="G18" s="4" t="n"/>
      <c r="H18" s="4" t="n"/>
      <c r="I18" s="4">
        <f>IF(D18&lt;&gt;"",E18*G18-F18*H18,"")</f>
        <v/>
      </c>
      <c r="J18" s="5">
        <f>IF(D18&gt;0,E18/D18,"")</f>
        <v/>
      </c>
      <c r="K18" s="4" t="n"/>
      <c r="L18" s="4" t="n"/>
    </row>
    <row r="19">
      <c r="A19" s="7" t="n"/>
      <c r="B19" s="8" t="n"/>
      <c r="C19" s="8" t="n"/>
      <c r="D19" s="8" t="n"/>
      <c r="E19" s="8" t="n"/>
      <c r="F19" s="8">
        <f>IF(D19&lt;&gt;"",D19-E19,"")</f>
        <v/>
      </c>
      <c r="G19" s="8" t="n"/>
      <c r="H19" s="8" t="n"/>
      <c r="I19" s="8">
        <f>IF(D19&lt;&gt;"",E19*G19-F19*H19,"")</f>
        <v/>
      </c>
      <c r="J19" s="9">
        <f>IF(D19&gt;0,E19/D19,"")</f>
        <v/>
      </c>
      <c r="K19" s="8" t="n"/>
      <c r="L19" s="8" t="n"/>
    </row>
    <row r="20">
      <c r="A20" s="3" t="n"/>
      <c r="B20" s="4" t="n"/>
      <c r="C20" s="4" t="n"/>
      <c r="D20" s="4" t="n"/>
      <c r="E20" s="4" t="n"/>
      <c r="F20" s="4">
        <f>IF(D20&lt;&gt;"",D20-E20,"")</f>
        <v/>
      </c>
      <c r="G20" s="4" t="n"/>
      <c r="H20" s="4" t="n"/>
      <c r="I20" s="4">
        <f>IF(D20&lt;&gt;"",E20*G20-F20*H20,"")</f>
        <v/>
      </c>
      <c r="J20" s="5">
        <f>IF(D20&gt;0,E20/D20,"")</f>
        <v/>
      </c>
      <c r="K20" s="4" t="n"/>
      <c r="L20" s="4" t="n"/>
    </row>
    <row r="21">
      <c r="A21" s="7" t="n"/>
      <c r="B21" s="8" t="n"/>
      <c r="C21" s="8" t="n"/>
      <c r="D21" s="8" t="n"/>
      <c r="E21" s="8" t="n"/>
      <c r="F21" s="8">
        <f>IF(D21&lt;&gt;"",D21-E21,"")</f>
        <v/>
      </c>
      <c r="G21" s="8" t="n"/>
      <c r="H21" s="8" t="n"/>
      <c r="I21" s="8">
        <f>IF(D21&lt;&gt;"",E21*G21-F21*H21,"")</f>
        <v/>
      </c>
      <c r="J21" s="9">
        <f>IF(D21&gt;0,E21/D21,"")</f>
        <v/>
      </c>
      <c r="K21" s="8" t="n"/>
      <c r="L21" s="8" t="n"/>
    </row>
    <row r="22">
      <c r="A22" s="3" t="n"/>
      <c r="B22" s="4" t="n"/>
      <c r="C22" s="4" t="n"/>
      <c r="D22" s="4" t="n"/>
      <c r="E22" s="4" t="n"/>
      <c r="F22" s="4">
        <f>IF(D22&lt;&gt;"",D22-E22,"")</f>
        <v/>
      </c>
      <c r="G22" s="4" t="n"/>
      <c r="H22" s="4" t="n"/>
      <c r="I22" s="4">
        <f>IF(D22&lt;&gt;"",E22*G22-F22*H22,"")</f>
        <v/>
      </c>
      <c r="J22" s="5">
        <f>IF(D22&gt;0,E22/D22,"")</f>
        <v/>
      </c>
      <c r="K22" s="4" t="n"/>
      <c r="L22" s="4" t="n"/>
    </row>
    <row r="23">
      <c r="A23" s="7" t="n"/>
      <c r="B23" s="8" t="n"/>
      <c r="C23" s="8" t="n"/>
      <c r="D23" s="8" t="n"/>
      <c r="E23" s="8" t="n"/>
      <c r="F23" s="8">
        <f>IF(D23&lt;&gt;"",D23-E23,"")</f>
        <v/>
      </c>
      <c r="G23" s="8" t="n"/>
      <c r="H23" s="8" t="n"/>
      <c r="I23" s="8">
        <f>IF(D23&lt;&gt;"",E23*G23-F23*H23,"")</f>
        <v/>
      </c>
      <c r="J23" s="9">
        <f>IF(D23&gt;0,E23/D23,"")</f>
        <v/>
      </c>
      <c r="K23" s="8" t="n"/>
      <c r="L23" s="8" t="n"/>
    </row>
    <row r="24">
      <c r="A24" s="3" t="n"/>
      <c r="B24" s="4" t="n"/>
      <c r="C24" s="4" t="n"/>
      <c r="D24" s="4" t="n"/>
      <c r="E24" s="4" t="n"/>
      <c r="F24" s="4">
        <f>IF(D24&lt;&gt;"",D24-E24,"")</f>
        <v/>
      </c>
      <c r="G24" s="4" t="n"/>
      <c r="H24" s="4" t="n"/>
      <c r="I24" s="4">
        <f>IF(D24&lt;&gt;"",E24*G24-F24*H24,"")</f>
        <v/>
      </c>
      <c r="J24" s="5">
        <f>IF(D24&gt;0,E24/D24,"")</f>
        <v/>
      </c>
      <c r="K24" s="4" t="n"/>
      <c r="L24" s="4" t="n"/>
    </row>
    <row r="25">
      <c r="A25" s="7" t="n"/>
      <c r="B25" s="8" t="n"/>
      <c r="C25" s="8" t="n"/>
      <c r="D25" s="8" t="n"/>
      <c r="E25" s="8" t="n"/>
      <c r="F25" s="8">
        <f>IF(D25&lt;&gt;"",D25-E25,"")</f>
        <v/>
      </c>
      <c r="G25" s="8" t="n"/>
      <c r="H25" s="8" t="n"/>
      <c r="I25" s="8">
        <f>IF(D25&lt;&gt;"",E25*G25-F25*H25,"")</f>
        <v/>
      </c>
      <c r="J25" s="9">
        <f>IF(D25&gt;0,E25/D25,"")</f>
        <v/>
      </c>
      <c r="K25" s="8" t="n"/>
      <c r="L25" s="8" t="n"/>
    </row>
    <row r="26">
      <c r="A26" s="3" t="n"/>
      <c r="B26" s="4" t="n"/>
      <c r="C26" s="4" t="n"/>
      <c r="D26" s="4" t="n"/>
      <c r="E26" s="4" t="n"/>
      <c r="F26" s="4">
        <f>IF(D26&lt;&gt;"",D26-E26,"")</f>
        <v/>
      </c>
      <c r="G26" s="4" t="n"/>
      <c r="H26" s="4" t="n"/>
      <c r="I26" s="4">
        <f>IF(D26&lt;&gt;"",E26*G26-F26*H26,"")</f>
        <v/>
      </c>
      <c r="J26" s="5">
        <f>IF(D26&gt;0,E26/D26,"")</f>
        <v/>
      </c>
      <c r="K26" s="4" t="n"/>
      <c r="L26" s="4" t="n"/>
    </row>
    <row r="27">
      <c r="A27" s="7" t="n"/>
      <c r="B27" s="8" t="n"/>
      <c r="C27" s="8" t="n"/>
      <c r="D27" s="8" t="n"/>
      <c r="E27" s="8" t="n"/>
      <c r="F27" s="8">
        <f>IF(D27&lt;&gt;"",D27-E27,"")</f>
        <v/>
      </c>
      <c r="G27" s="8" t="n"/>
      <c r="H27" s="8" t="n"/>
      <c r="I27" s="8">
        <f>IF(D27&lt;&gt;"",E27*G27-F27*H27,"")</f>
        <v/>
      </c>
      <c r="J27" s="9">
        <f>IF(D27&gt;0,E27/D27,"")</f>
        <v/>
      </c>
      <c r="K27" s="8" t="n"/>
      <c r="L27" s="8" t="n"/>
    </row>
    <row r="28">
      <c r="A28" s="3" t="n"/>
      <c r="B28" s="4" t="n"/>
      <c r="C28" s="4" t="n"/>
      <c r="D28" s="4" t="n"/>
      <c r="E28" s="4" t="n"/>
      <c r="F28" s="4">
        <f>IF(D28&lt;&gt;"",D28-E28,"")</f>
        <v/>
      </c>
      <c r="G28" s="4" t="n"/>
      <c r="H28" s="4" t="n"/>
      <c r="I28" s="4">
        <f>IF(D28&lt;&gt;"",E28*G28-F28*H28,"")</f>
        <v/>
      </c>
      <c r="J28" s="5">
        <f>IF(D28&gt;0,E28/D28,"")</f>
        <v/>
      </c>
      <c r="K28" s="4" t="n"/>
      <c r="L28" s="4" t="n"/>
    </row>
    <row r="29">
      <c r="A29" s="7" t="n"/>
      <c r="B29" s="8" t="n"/>
      <c r="C29" s="8" t="n"/>
      <c r="D29" s="8" t="n"/>
      <c r="E29" s="8" t="n"/>
      <c r="F29" s="8">
        <f>IF(D29&lt;&gt;"",D29-E29,"")</f>
        <v/>
      </c>
      <c r="G29" s="8" t="n"/>
      <c r="H29" s="8" t="n"/>
      <c r="I29" s="8">
        <f>IF(D29&lt;&gt;"",E29*G29-F29*H29,"")</f>
        <v/>
      </c>
      <c r="J29" s="9">
        <f>IF(D29&gt;0,E29/D29,"")</f>
        <v/>
      </c>
      <c r="K29" s="8" t="n"/>
      <c r="L29" s="8" t="n"/>
    </row>
    <row r="30">
      <c r="A30" s="3" t="n"/>
      <c r="B30" s="4" t="n"/>
      <c r="C30" s="4" t="n"/>
      <c r="D30" s="4" t="n"/>
      <c r="E30" s="4" t="n"/>
      <c r="F30" s="4">
        <f>IF(D30&lt;&gt;"",D30-E30,"")</f>
        <v/>
      </c>
      <c r="G30" s="4" t="n"/>
      <c r="H30" s="4" t="n"/>
      <c r="I30" s="4">
        <f>IF(D30&lt;&gt;"",E30*G30-F30*H30,"")</f>
        <v/>
      </c>
      <c r="J30" s="5">
        <f>IF(D30&gt;0,E30/D30,"")</f>
        <v/>
      </c>
      <c r="K30" s="4" t="n"/>
      <c r="L30" s="4" t="n"/>
    </row>
    <row r="31">
      <c r="A31" s="7" t="n"/>
      <c r="B31" s="8" t="n"/>
      <c r="C31" s="8" t="n"/>
      <c r="D31" s="8" t="n"/>
      <c r="E31" s="8" t="n"/>
      <c r="F31" s="8">
        <f>IF(D31&lt;&gt;"",D31-E31,"")</f>
        <v/>
      </c>
      <c r="G31" s="8" t="n"/>
      <c r="H31" s="8" t="n"/>
      <c r="I31" s="8">
        <f>IF(D31&lt;&gt;"",E31*G31-F31*H31,"")</f>
        <v/>
      </c>
      <c r="J31" s="9">
        <f>IF(D31&gt;0,E31/D31,"")</f>
        <v/>
      </c>
      <c r="K31" s="8" t="n"/>
      <c r="L31" s="8" t="n"/>
    </row>
    <row r="32">
      <c r="A32" s="3" t="n"/>
      <c r="B32" s="4" t="n"/>
      <c r="C32" s="4" t="n"/>
      <c r="D32" s="4" t="n"/>
      <c r="E32" s="4" t="n"/>
      <c r="F32" s="4">
        <f>IF(D32&lt;&gt;"",D32-E32,"")</f>
        <v/>
      </c>
      <c r="G32" s="4" t="n"/>
      <c r="H32" s="4" t="n"/>
      <c r="I32" s="4">
        <f>IF(D32&lt;&gt;"",E32*G32-F32*H32,"")</f>
        <v/>
      </c>
      <c r="J32" s="5">
        <f>IF(D32&gt;0,E32/D32,"")</f>
        <v/>
      </c>
      <c r="K32" s="4" t="n"/>
      <c r="L32" s="4" t="n"/>
    </row>
    <row r="33">
      <c r="A33" s="7" t="n"/>
      <c r="B33" s="8" t="n"/>
      <c r="C33" s="8" t="n"/>
      <c r="D33" s="8" t="n"/>
      <c r="E33" s="8" t="n"/>
      <c r="F33" s="8">
        <f>IF(D33&lt;&gt;"",D33-E33,"")</f>
        <v/>
      </c>
      <c r="G33" s="8" t="n"/>
      <c r="H33" s="8" t="n"/>
      <c r="I33" s="8">
        <f>IF(D33&lt;&gt;"",E33*G33-F33*H33,"")</f>
        <v/>
      </c>
      <c r="J33" s="9">
        <f>IF(D33&gt;0,E33/D33,"")</f>
        <v/>
      </c>
      <c r="K33" s="8" t="n"/>
      <c r="L33" s="8" t="n"/>
    </row>
    <row r="34">
      <c r="A34" s="3" t="n"/>
      <c r="B34" s="4" t="n"/>
      <c r="C34" s="4" t="n"/>
      <c r="D34" s="4" t="n"/>
      <c r="E34" s="4" t="n"/>
      <c r="F34" s="4">
        <f>IF(D34&lt;&gt;"",D34-E34,"")</f>
        <v/>
      </c>
      <c r="G34" s="4" t="n"/>
      <c r="H34" s="4" t="n"/>
      <c r="I34" s="4">
        <f>IF(D34&lt;&gt;"",E34*G34-F34*H34,"")</f>
        <v/>
      </c>
      <c r="J34" s="5">
        <f>IF(D34&gt;0,E34/D34,"")</f>
        <v/>
      </c>
      <c r="K34" s="4" t="n"/>
      <c r="L34" s="4" t="n"/>
    </row>
    <row r="35">
      <c r="A35" s="7" t="n"/>
      <c r="B35" s="8" t="n"/>
      <c r="C35" s="8" t="n"/>
      <c r="D35" s="8" t="n"/>
      <c r="E35" s="8" t="n"/>
      <c r="F35" s="8">
        <f>IF(D35&lt;&gt;"",D35-E35,"")</f>
        <v/>
      </c>
      <c r="G35" s="8" t="n"/>
      <c r="H35" s="8" t="n"/>
      <c r="I35" s="8">
        <f>IF(D35&lt;&gt;"",E35*G35-F35*H35,"")</f>
        <v/>
      </c>
      <c r="J35" s="9">
        <f>IF(D35&gt;0,E35/D35,"")</f>
        <v/>
      </c>
      <c r="K35" s="8" t="n"/>
      <c r="L35" s="8" t="n"/>
    </row>
    <row r="36">
      <c r="A36" s="3" t="n"/>
      <c r="B36" s="4" t="n"/>
      <c r="C36" s="4" t="n"/>
      <c r="D36" s="4" t="n"/>
      <c r="E36" s="4" t="n"/>
      <c r="F36" s="4">
        <f>IF(D36&lt;&gt;"",D36-E36,"")</f>
        <v/>
      </c>
      <c r="G36" s="4" t="n"/>
      <c r="H36" s="4" t="n"/>
      <c r="I36" s="4">
        <f>IF(D36&lt;&gt;"",E36*G36-F36*H36,"")</f>
        <v/>
      </c>
      <c r="J36" s="5">
        <f>IF(D36&gt;0,E36/D36,"")</f>
        <v/>
      </c>
      <c r="K36" s="4" t="n"/>
      <c r="L36" s="4" t="n"/>
    </row>
    <row r="37">
      <c r="A37" s="7" t="n"/>
      <c r="B37" s="8" t="n"/>
      <c r="C37" s="8" t="n"/>
      <c r="D37" s="8" t="n"/>
      <c r="E37" s="8" t="n"/>
      <c r="F37" s="8">
        <f>IF(D37&lt;&gt;"",D37-E37,"")</f>
        <v/>
      </c>
      <c r="G37" s="8" t="n"/>
      <c r="H37" s="8" t="n"/>
      <c r="I37" s="8">
        <f>IF(D37&lt;&gt;"",E37*G37-F37*H37,"")</f>
        <v/>
      </c>
      <c r="J37" s="9">
        <f>IF(D37&gt;0,E37/D37,"")</f>
        <v/>
      </c>
      <c r="K37" s="8" t="n"/>
      <c r="L37" s="8" t="n"/>
    </row>
    <row r="38">
      <c r="A38" s="3" t="n"/>
      <c r="B38" s="4" t="n"/>
      <c r="C38" s="4" t="n"/>
      <c r="D38" s="4" t="n"/>
      <c r="E38" s="4" t="n"/>
      <c r="F38" s="4">
        <f>IF(D38&lt;&gt;"",D38-E38,"")</f>
        <v/>
      </c>
      <c r="G38" s="4" t="n"/>
      <c r="H38" s="4" t="n"/>
      <c r="I38" s="4">
        <f>IF(D38&lt;&gt;"",E38*G38-F38*H38,"")</f>
        <v/>
      </c>
      <c r="J38" s="5">
        <f>IF(D38&gt;0,E38/D38,"")</f>
        <v/>
      </c>
      <c r="K38" s="4" t="n"/>
      <c r="L38" s="4" t="n"/>
    </row>
    <row r="39">
      <c r="A39" s="7" t="n"/>
      <c r="B39" s="8" t="n"/>
      <c r="C39" s="8" t="n"/>
      <c r="D39" s="8" t="n"/>
      <c r="E39" s="8" t="n"/>
      <c r="F39" s="8">
        <f>IF(D39&lt;&gt;"",D39-E39,"")</f>
        <v/>
      </c>
      <c r="G39" s="8" t="n"/>
      <c r="H39" s="8" t="n"/>
      <c r="I39" s="8">
        <f>IF(D39&lt;&gt;"",E39*G39-F39*H39,"")</f>
        <v/>
      </c>
      <c r="J39" s="9">
        <f>IF(D39&gt;0,E39/D39,"")</f>
        <v/>
      </c>
      <c r="K39" s="8" t="n"/>
      <c r="L39" s="8" t="n"/>
    </row>
    <row r="40">
      <c r="A40" s="3" t="n"/>
      <c r="B40" s="4" t="n"/>
      <c r="C40" s="4" t="n"/>
      <c r="D40" s="4" t="n"/>
      <c r="E40" s="4" t="n"/>
      <c r="F40" s="4">
        <f>IF(D40&lt;&gt;"",D40-E40,"")</f>
        <v/>
      </c>
      <c r="G40" s="4" t="n"/>
      <c r="H40" s="4" t="n"/>
      <c r="I40" s="4">
        <f>IF(D40&lt;&gt;"",E40*G40-F40*H40,"")</f>
        <v/>
      </c>
      <c r="J40" s="5">
        <f>IF(D40&gt;0,E40/D40,"")</f>
        <v/>
      </c>
      <c r="K40" s="4" t="n"/>
      <c r="L40" s="4" t="n"/>
    </row>
    <row r="41">
      <c r="A41" s="7" t="n"/>
      <c r="B41" s="8" t="n"/>
      <c r="C41" s="8" t="n"/>
      <c r="D41" s="8" t="n"/>
      <c r="E41" s="8" t="n"/>
      <c r="F41" s="8">
        <f>IF(D41&lt;&gt;"",D41-E41,"")</f>
        <v/>
      </c>
      <c r="G41" s="8" t="n"/>
      <c r="H41" s="8" t="n"/>
      <c r="I41" s="8">
        <f>IF(D41&lt;&gt;"",E41*G41-F41*H41,"")</f>
        <v/>
      </c>
      <c r="J41" s="9">
        <f>IF(D41&gt;0,E41/D41,"")</f>
        <v/>
      </c>
      <c r="K41" s="8" t="n"/>
      <c r="L41" s="8" t="n"/>
    </row>
    <row r="42">
      <c r="A42" s="3" t="n"/>
      <c r="B42" s="4" t="n"/>
      <c r="C42" s="4" t="n"/>
      <c r="D42" s="4" t="n"/>
      <c r="E42" s="4" t="n"/>
      <c r="F42" s="4">
        <f>IF(D42&lt;&gt;"",D42-E42,"")</f>
        <v/>
      </c>
      <c r="G42" s="4" t="n"/>
      <c r="H42" s="4" t="n"/>
      <c r="I42" s="4">
        <f>IF(D42&lt;&gt;"",E42*G42-F42*H42,"")</f>
        <v/>
      </c>
      <c r="J42" s="5">
        <f>IF(D42&gt;0,E42/D42,"")</f>
        <v/>
      </c>
      <c r="K42" s="4" t="n"/>
      <c r="L42" s="4" t="n"/>
    </row>
    <row r="43">
      <c r="A43" s="7" t="n"/>
      <c r="B43" s="8" t="n"/>
      <c r="C43" s="8" t="n"/>
      <c r="D43" s="8" t="n"/>
      <c r="E43" s="8" t="n"/>
      <c r="F43" s="8">
        <f>IF(D43&lt;&gt;"",D43-E43,"")</f>
        <v/>
      </c>
      <c r="G43" s="8" t="n"/>
      <c r="H43" s="8" t="n"/>
      <c r="I43" s="8">
        <f>IF(D43&lt;&gt;"",E43*G43-F43*H43,"")</f>
        <v/>
      </c>
      <c r="J43" s="9">
        <f>IF(D43&gt;0,E43/D43,"")</f>
        <v/>
      </c>
      <c r="K43" s="8" t="n"/>
      <c r="L43" s="8" t="n"/>
    </row>
    <row r="44">
      <c r="A44" s="3" t="n"/>
      <c r="B44" s="4" t="n"/>
      <c r="C44" s="4" t="n"/>
      <c r="D44" s="4" t="n"/>
      <c r="E44" s="4" t="n"/>
      <c r="F44" s="4">
        <f>IF(D44&lt;&gt;"",D44-E44,"")</f>
        <v/>
      </c>
      <c r="G44" s="4" t="n"/>
      <c r="H44" s="4" t="n"/>
      <c r="I44" s="4">
        <f>IF(D44&lt;&gt;"",E44*G44-F44*H44,"")</f>
        <v/>
      </c>
      <c r="J44" s="5">
        <f>IF(D44&gt;0,E44/D44,"")</f>
        <v/>
      </c>
      <c r="K44" s="4" t="n"/>
      <c r="L44" s="4" t="n"/>
    </row>
    <row r="45">
      <c r="A45" s="7" t="n"/>
      <c r="B45" s="8" t="n"/>
      <c r="C45" s="8" t="n"/>
      <c r="D45" s="8" t="n"/>
      <c r="E45" s="8" t="n"/>
      <c r="F45" s="8">
        <f>IF(D45&lt;&gt;"",D45-E45,"")</f>
        <v/>
      </c>
      <c r="G45" s="8" t="n"/>
      <c r="H45" s="8" t="n"/>
      <c r="I45" s="8">
        <f>IF(D45&lt;&gt;"",E45*G45-F45*H45,"")</f>
        <v/>
      </c>
      <c r="J45" s="9">
        <f>IF(D45&gt;0,E45/D45,"")</f>
        <v/>
      </c>
      <c r="K45" s="8" t="n"/>
      <c r="L45" s="8" t="n"/>
    </row>
    <row r="46">
      <c r="A46" s="3" t="n"/>
      <c r="B46" s="4" t="n"/>
      <c r="C46" s="4" t="n"/>
      <c r="D46" s="4" t="n"/>
      <c r="E46" s="4" t="n"/>
      <c r="F46" s="4">
        <f>IF(D46&lt;&gt;"",D46-E46,"")</f>
        <v/>
      </c>
      <c r="G46" s="4" t="n"/>
      <c r="H46" s="4" t="n"/>
      <c r="I46" s="4">
        <f>IF(D46&lt;&gt;"",E46*G46-F46*H46,"")</f>
        <v/>
      </c>
      <c r="J46" s="5">
        <f>IF(D46&gt;0,E46/D46,"")</f>
        <v/>
      </c>
      <c r="K46" s="4" t="n"/>
      <c r="L46" s="4" t="n"/>
    </row>
    <row r="47">
      <c r="A47" s="7" t="n"/>
      <c r="B47" s="8" t="n"/>
      <c r="C47" s="8" t="n"/>
      <c r="D47" s="8" t="n"/>
      <c r="E47" s="8" t="n"/>
      <c r="F47" s="8">
        <f>IF(D47&lt;&gt;"",D47-E47,"")</f>
        <v/>
      </c>
      <c r="G47" s="8" t="n"/>
      <c r="H47" s="8" t="n"/>
      <c r="I47" s="8">
        <f>IF(D47&lt;&gt;"",E47*G47-F47*H47,"")</f>
        <v/>
      </c>
      <c r="J47" s="9">
        <f>IF(D47&gt;0,E47/D47,"")</f>
        <v/>
      </c>
      <c r="K47" s="8" t="n"/>
      <c r="L47" s="8" t="n"/>
    </row>
    <row r="48">
      <c r="A48" s="3" t="n"/>
      <c r="B48" s="4" t="n"/>
      <c r="C48" s="4" t="n"/>
      <c r="D48" s="4" t="n"/>
      <c r="E48" s="4" t="n"/>
      <c r="F48" s="4">
        <f>IF(D48&lt;&gt;"",D48-E48,"")</f>
        <v/>
      </c>
      <c r="G48" s="4" t="n"/>
      <c r="H48" s="4" t="n"/>
      <c r="I48" s="4">
        <f>IF(D48&lt;&gt;"",E48*G48-F48*H48,"")</f>
        <v/>
      </c>
      <c r="J48" s="5">
        <f>IF(D48&gt;0,E48/D48,"")</f>
        <v/>
      </c>
      <c r="K48" s="4" t="n"/>
      <c r="L48" s="4" t="n"/>
    </row>
    <row r="49">
      <c r="A49" s="7" t="n"/>
      <c r="B49" s="8" t="n"/>
      <c r="C49" s="8" t="n"/>
      <c r="D49" s="8" t="n"/>
      <c r="E49" s="8" t="n"/>
      <c r="F49" s="8">
        <f>IF(D49&lt;&gt;"",D49-E49,"")</f>
        <v/>
      </c>
      <c r="G49" s="8" t="n"/>
      <c r="H49" s="8" t="n"/>
      <c r="I49" s="8">
        <f>IF(D49&lt;&gt;"",E49*G49-F49*H49,"")</f>
        <v/>
      </c>
      <c r="J49" s="9">
        <f>IF(D49&gt;0,E49/D49,"")</f>
        <v/>
      </c>
      <c r="K49" s="8" t="n"/>
      <c r="L49" s="8" t="n"/>
    </row>
    <row r="50">
      <c r="A50" s="3" t="n"/>
      <c r="B50" s="4" t="n"/>
      <c r="C50" s="4" t="n"/>
      <c r="D50" s="4" t="n"/>
      <c r="E50" s="4" t="n"/>
      <c r="F50" s="4">
        <f>IF(D50&lt;&gt;"",D50-E50,"")</f>
        <v/>
      </c>
      <c r="G50" s="4" t="n"/>
      <c r="H50" s="4" t="n"/>
      <c r="I50" s="4">
        <f>IF(D50&lt;&gt;"",E50*G50-F50*H50,"")</f>
        <v/>
      </c>
      <c r="J50" s="5">
        <f>IF(D50&gt;0,E50/D50,"")</f>
        <v/>
      </c>
      <c r="K50" s="4" t="n"/>
      <c r="L50" s="4" t="n"/>
    </row>
    <row r="51">
      <c r="A51" s="7" t="n"/>
      <c r="B51" s="8" t="n"/>
      <c r="C51" s="8" t="n"/>
      <c r="D51" s="8" t="n"/>
      <c r="E51" s="8" t="n"/>
      <c r="F51" s="8">
        <f>IF(D51&lt;&gt;"",D51-E51,"")</f>
        <v/>
      </c>
      <c r="G51" s="8" t="n"/>
      <c r="H51" s="8" t="n"/>
      <c r="I51" s="8">
        <f>IF(D51&lt;&gt;"",E51*G51-F51*H51,"")</f>
        <v/>
      </c>
      <c r="J51" s="9">
        <f>IF(D51&gt;0,E51/D51,"")</f>
        <v/>
      </c>
      <c r="K51" s="8" t="n"/>
      <c r="L51" s="8" t="n"/>
    </row>
    <row r="52">
      <c r="A52" s="3" t="n"/>
      <c r="B52" s="4" t="n"/>
      <c r="C52" s="4" t="n"/>
      <c r="D52" s="4" t="n"/>
      <c r="E52" s="4" t="n"/>
      <c r="F52" s="4">
        <f>IF(D52&lt;&gt;"",D52-E52,"")</f>
        <v/>
      </c>
      <c r="G52" s="4" t="n"/>
      <c r="H52" s="4" t="n"/>
      <c r="I52" s="4">
        <f>IF(D52&lt;&gt;"",E52*G52-F52*H52,"")</f>
        <v/>
      </c>
      <c r="J52" s="5">
        <f>IF(D52&gt;0,E52/D52,"")</f>
        <v/>
      </c>
      <c r="K52" s="4" t="n"/>
      <c r="L52" s="4" t="n"/>
    </row>
    <row r="53">
      <c r="A53" s="7" t="n"/>
      <c r="B53" s="8" t="n"/>
      <c r="C53" s="8" t="n"/>
      <c r="D53" s="8" t="n"/>
      <c r="E53" s="8" t="n"/>
      <c r="F53" s="8">
        <f>IF(D53&lt;&gt;"",D53-E53,"")</f>
        <v/>
      </c>
      <c r="G53" s="8" t="n"/>
      <c r="H53" s="8" t="n"/>
      <c r="I53" s="8">
        <f>IF(D53&lt;&gt;"",E53*G53-F53*H53,"")</f>
        <v/>
      </c>
      <c r="J53" s="9">
        <f>IF(D53&gt;0,E53/D53,"")</f>
        <v/>
      </c>
      <c r="K53" s="8" t="n"/>
      <c r="L53" s="8" t="n"/>
    </row>
    <row r="54">
      <c r="A54" s="3" t="n"/>
      <c r="B54" s="4" t="n"/>
      <c r="C54" s="4" t="n"/>
      <c r="D54" s="4" t="n"/>
      <c r="E54" s="4" t="n"/>
      <c r="F54" s="4">
        <f>IF(D54&lt;&gt;"",D54-E54,"")</f>
        <v/>
      </c>
      <c r="G54" s="4" t="n"/>
      <c r="H54" s="4" t="n"/>
      <c r="I54" s="4">
        <f>IF(D54&lt;&gt;"",E54*G54-F54*H54,"")</f>
        <v/>
      </c>
      <c r="J54" s="5">
        <f>IF(D54&gt;0,E54/D54,"")</f>
        <v/>
      </c>
      <c r="K54" s="4" t="n"/>
      <c r="L54" s="4" t="n"/>
    </row>
    <row r="55">
      <c r="A55" s="7" t="n"/>
      <c r="B55" s="8" t="n"/>
      <c r="C55" s="8" t="n"/>
      <c r="D55" s="8" t="n"/>
      <c r="E55" s="8" t="n"/>
      <c r="F55" s="8">
        <f>IF(D55&lt;&gt;"",D55-E55,"")</f>
        <v/>
      </c>
      <c r="G55" s="8" t="n"/>
      <c r="H55" s="8" t="n"/>
      <c r="I55" s="8">
        <f>IF(D55&lt;&gt;"",E55*G55-F55*H55,"")</f>
        <v/>
      </c>
      <c r="J55" s="9">
        <f>IF(D55&gt;0,E55/D55,"")</f>
        <v/>
      </c>
      <c r="K55" s="8" t="n"/>
      <c r="L55" s="8" t="n"/>
    </row>
    <row r="56">
      <c r="A56" s="3" t="n"/>
      <c r="B56" s="4" t="n"/>
      <c r="C56" s="4" t="n"/>
      <c r="D56" s="4" t="n"/>
      <c r="E56" s="4" t="n"/>
      <c r="F56" s="4">
        <f>IF(D56&lt;&gt;"",D56-E56,"")</f>
        <v/>
      </c>
      <c r="G56" s="4" t="n"/>
      <c r="H56" s="4" t="n"/>
      <c r="I56" s="4">
        <f>IF(D56&lt;&gt;"",E56*G56-F56*H56,"")</f>
        <v/>
      </c>
      <c r="J56" s="5">
        <f>IF(D56&gt;0,E56/D56,"")</f>
        <v/>
      </c>
      <c r="K56" s="4" t="n"/>
      <c r="L56" s="4" t="n"/>
    </row>
    <row r="57">
      <c r="A57" s="7" t="n"/>
      <c r="B57" s="8" t="n"/>
      <c r="C57" s="8" t="n"/>
      <c r="D57" s="8" t="n"/>
      <c r="E57" s="8" t="n"/>
      <c r="F57" s="8">
        <f>IF(D57&lt;&gt;"",D57-E57,"")</f>
        <v/>
      </c>
      <c r="G57" s="8" t="n"/>
      <c r="H57" s="8" t="n"/>
      <c r="I57" s="8">
        <f>IF(D57&lt;&gt;"",E57*G57-F57*H57,"")</f>
        <v/>
      </c>
      <c r="J57" s="9">
        <f>IF(D57&gt;0,E57/D57,"")</f>
        <v/>
      </c>
      <c r="K57" s="8" t="n"/>
      <c r="L57" s="8" t="n"/>
    </row>
    <row r="58">
      <c r="A58" s="3" t="n"/>
      <c r="B58" s="4" t="n"/>
      <c r="C58" s="4" t="n"/>
      <c r="D58" s="4" t="n"/>
      <c r="E58" s="4" t="n"/>
      <c r="F58" s="4">
        <f>IF(D58&lt;&gt;"",D58-E58,"")</f>
        <v/>
      </c>
      <c r="G58" s="4" t="n"/>
      <c r="H58" s="4" t="n"/>
      <c r="I58" s="4">
        <f>IF(D58&lt;&gt;"",E58*G58-F58*H58,"")</f>
        <v/>
      </c>
      <c r="J58" s="5">
        <f>IF(D58&gt;0,E58/D58,"")</f>
        <v/>
      </c>
      <c r="K58" s="4" t="n"/>
      <c r="L58" s="4" t="n"/>
    </row>
    <row r="59">
      <c r="A59" s="7" t="n"/>
      <c r="B59" s="8" t="n"/>
      <c r="C59" s="8" t="n"/>
      <c r="D59" s="8" t="n"/>
      <c r="E59" s="8" t="n"/>
      <c r="F59" s="8">
        <f>IF(D59&lt;&gt;"",D59-E59,"")</f>
        <v/>
      </c>
      <c r="G59" s="8" t="n"/>
      <c r="H59" s="8" t="n"/>
      <c r="I59" s="8">
        <f>IF(D59&lt;&gt;"",E59*G59-F59*H59,"")</f>
        <v/>
      </c>
      <c r="J59" s="9">
        <f>IF(D59&gt;0,E59/D59,"")</f>
        <v/>
      </c>
      <c r="K59" s="8" t="n"/>
      <c r="L59" s="8" t="n"/>
    </row>
    <row r="60">
      <c r="A60" s="3" t="n"/>
      <c r="B60" s="4" t="n"/>
      <c r="C60" s="4" t="n"/>
      <c r="D60" s="4" t="n"/>
      <c r="E60" s="4" t="n"/>
      <c r="F60" s="4">
        <f>IF(D60&lt;&gt;"",D60-E60,"")</f>
        <v/>
      </c>
      <c r="G60" s="4" t="n"/>
      <c r="H60" s="4" t="n"/>
      <c r="I60" s="4">
        <f>IF(D60&lt;&gt;"",E60*G60-F60*H60,"")</f>
        <v/>
      </c>
      <c r="J60" s="5">
        <f>IF(D60&gt;0,E60/D60,"")</f>
        <v/>
      </c>
      <c r="K60" s="4" t="n"/>
      <c r="L60" s="4" t="n"/>
    </row>
    <row r="61">
      <c r="A61" s="7" t="n"/>
      <c r="B61" s="8" t="n"/>
      <c r="C61" s="8" t="n"/>
      <c r="D61" s="8" t="n"/>
      <c r="E61" s="8" t="n"/>
      <c r="F61" s="8">
        <f>IF(D61&lt;&gt;"",D61-E61,"")</f>
        <v/>
      </c>
      <c r="G61" s="8" t="n"/>
      <c r="H61" s="8" t="n"/>
      <c r="I61" s="8">
        <f>IF(D61&lt;&gt;"",E61*G61-F61*H61,"")</f>
        <v/>
      </c>
      <c r="J61" s="9">
        <f>IF(D61&gt;0,E61/D61,"")</f>
        <v/>
      </c>
      <c r="K61" s="8" t="n"/>
      <c r="L61" s="8" t="n"/>
    </row>
    <row r="62">
      <c r="A62" s="3" t="n"/>
      <c r="B62" s="4" t="n"/>
      <c r="C62" s="4" t="n"/>
      <c r="D62" s="4" t="n"/>
      <c r="E62" s="4" t="n"/>
      <c r="F62" s="4">
        <f>IF(D62&lt;&gt;"",D62-E62,"")</f>
        <v/>
      </c>
      <c r="G62" s="4" t="n"/>
      <c r="H62" s="4" t="n"/>
      <c r="I62" s="4">
        <f>IF(D62&lt;&gt;"",E62*G62-F62*H62,"")</f>
        <v/>
      </c>
      <c r="J62" s="5">
        <f>IF(D62&gt;0,E62/D62,"")</f>
        <v/>
      </c>
      <c r="K62" s="4" t="n"/>
      <c r="L62" s="4" t="n"/>
    </row>
    <row r="63">
      <c r="A63" s="7" t="n"/>
      <c r="B63" s="8" t="n"/>
      <c r="C63" s="8" t="n"/>
      <c r="D63" s="8" t="n"/>
      <c r="E63" s="8" t="n"/>
      <c r="F63" s="8">
        <f>IF(D63&lt;&gt;"",D63-E63,"")</f>
        <v/>
      </c>
      <c r="G63" s="8" t="n"/>
      <c r="H63" s="8" t="n"/>
      <c r="I63" s="8">
        <f>IF(D63&lt;&gt;"",E63*G63-F63*H63,"")</f>
        <v/>
      </c>
      <c r="J63" s="9">
        <f>IF(D63&gt;0,E63/D63,"")</f>
        <v/>
      </c>
      <c r="K63" s="8" t="n"/>
      <c r="L63" s="8" t="n"/>
    </row>
    <row r="64">
      <c r="A64" s="3" t="n"/>
      <c r="B64" s="4" t="n"/>
      <c r="C64" s="4" t="n"/>
      <c r="D64" s="4" t="n"/>
      <c r="E64" s="4" t="n"/>
      <c r="F64" s="4">
        <f>IF(D64&lt;&gt;"",D64-E64,"")</f>
        <v/>
      </c>
      <c r="G64" s="4" t="n"/>
      <c r="H64" s="4" t="n"/>
      <c r="I64" s="4">
        <f>IF(D64&lt;&gt;"",E64*G64-F64*H64,"")</f>
        <v/>
      </c>
      <c r="J64" s="5">
        <f>IF(D64&gt;0,E64/D64,"")</f>
        <v/>
      </c>
      <c r="K64" s="4" t="n"/>
      <c r="L64" s="4" t="n"/>
    </row>
    <row r="65">
      <c r="A65" s="7" t="n"/>
      <c r="B65" s="8" t="n"/>
      <c r="C65" s="8" t="n"/>
      <c r="D65" s="8" t="n"/>
      <c r="E65" s="8" t="n"/>
      <c r="F65" s="8">
        <f>IF(D65&lt;&gt;"",D65-E65,"")</f>
        <v/>
      </c>
      <c r="G65" s="8" t="n"/>
      <c r="H65" s="8" t="n"/>
      <c r="I65" s="8">
        <f>IF(D65&lt;&gt;"",E65*G65-F65*H65,"")</f>
        <v/>
      </c>
      <c r="J65" s="9">
        <f>IF(D65&gt;0,E65/D65,"")</f>
        <v/>
      </c>
      <c r="K65" s="8" t="n"/>
      <c r="L65" s="8" t="n"/>
    </row>
    <row r="66">
      <c r="A66" s="3" t="n"/>
      <c r="B66" s="4" t="n"/>
      <c r="C66" s="4" t="n"/>
      <c r="D66" s="4" t="n"/>
      <c r="E66" s="4" t="n"/>
      <c r="F66" s="4">
        <f>IF(D66&lt;&gt;"",D66-E66,"")</f>
        <v/>
      </c>
      <c r="G66" s="4" t="n"/>
      <c r="H66" s="4" t="n"/>
      <c r="I66" s="4">
        <f>IF(D66&lt;&gt;"",E66*G66-F66*H66,"")</f>
        <v/>
      </c>
      <c r="J66" s="5">
        <f>IF(D66&gt;0,E66/D66,"")</f>
        <v/>
      </c>
      <c r="K66" s="4" t="n"/>
      <c r="L66" s="4" t="n"/>
    </row>
    <row r="67">
      <c r="A67" s="7" t="n"/>
      <c r="B67" s="8" t="n"/>
      <c r="C67" s="8" t="n"/>
      <c r="D67" s="8" t="n"/>
      <c r="E67" s="8" t="n"/>
      <c r="F67" s="8">
        <f>IF(D67&lt;&gt;"",D67-E67,"")</f>
        <v/>
      </c>
      <c r="G67" s="8" t="n"/>
      <c r="H67" s="8" t="n"/>
      <c r="I67" s="8">
        <f>IF(D67&lt;&gt;"",E67*G67-F67*H67,"")</f>
        <v/>
      </c>
      <c r="J67" s="9">
        <f>IF(D67&gt;0,E67/D67,"")</f>
        <v/>
      </c>
      <c r="K67" s="8" t="n"/>
      <c r="L67" s="8" t="n"/>
    </row>
    <row r="68">
      <c r="A68" s="3" t="n"/>
      <c r="B68" s="4" t="n"/>
      <c r="C68" s="4" t="n"/>
      <c r="D68" s="4" t="n"/>
      <c r="E68" s="4" t="n"/>
      <c r="F68" s="4">
        <f>IF(D68&lt;&gt;"",D68-E68,"")</f>
        <v/>
      </c>
      <c r="G68" s="4" t="n"/>
      <c r="H68" s="4" t="n"/>
      <c r="I68" s="4">
        <f>IF(D68&lt;&gt;"",E68*G68-F68*H68,"")</f>
        <v/>
      </c>
      <c r="J68" s="5">
        <f>IF(D68&gt;0,E68/D68,"")</f>
        <v/>
      </c>
      <c r="K68" s="4" t="n"/>
      <c r="L68" s="4" t="n"/>
    </row>
    <row r="69">
      <c r="A69" s="7" t="n"/>
      <c r="B69" s="8" t="n"/>
      <c r="C69" s="8" t="n"/>
      <c r="D69" s="8" t="n"/>
      <c r="E69" s="8" t="n"/>
      <c r="F69" s="8">
        <f>IF(D69&lt;&gt;"",D69-E69,"")</f>
        <v/>
      </c>
      <c r="G69" s="8" t="n"/>
      <c r="H69" s="8" t="n"/>
      <c r="I69" s="8">
        <f>IF(D69&lt;&gt;"",E69*G69-F69*H69,"")</f>
        <v/>
      </c>
      <c r="J69" s="9">
        <f>IF(D69&gt;0,E69/D69,"")</f>
        <v/>
      </c>
      <c r="K69" s="8" t="n"/>
      <c r="L69" s="8" t="n"/>
    </row>
    <row r="70">
      <c r="A70" s="3" t="n"/>
      <c r="B70" s="4" t="n"/>
      <c r="C70" s="4" t="n"/>
      <c r="D70" s="4" t="n"/>
      <c r="E70" s="4" t="n"/>
      <c r="F70" s="4">
        <f>IF(D70&lt;&gt;"",D70-E70,"")</f>
        <v/>
      </c>
      <c r="G70" s="4" t="n"/>
      <c r="H70" s="4" t="n"/>
      <c r="I70" s="4">
        <f>IF(D70&lt;&gt;"",E70*G70-F70*H70,"")</f>
        <v/>
      </c>
      <c r="J70" s="5">
        <f>IF(D70&gt;0,E70/D70,"")</f>
        <v/>
      </c>
      <c r="K70" s="4" t="n"/>
      <c r="L70" s="4" t="n"/>
    </row>
    <row r="71">
      <c r="A71" s="7" t="n"/>
      <c r="B71" s="8" t="n"/>
      <c r="C71" s="8" t="n"/>
      <c r="D71" s="8" t="n"/>
      <c r="E71" s="8" t="n"/>
      <c r="F71" s="8">
        <f>IF(D71&lt;&gt;"",D71-E71,"")</f>
        <v/>
      </c>
      <c r="G71" s="8" t="n"/>
      <c r="H71" s="8" t="n"/>
      <c r="I71" s="8">
        <f>IF(D71&lt;&gt;"",E71*G71-F71*H71,"")</f>
        <v/>
      </c>
      <c r="J71" s="9">
        <f>IF(D71&gt;0,E71/D71,"")</f>
        <v/>
      </c>
      <c r="K71" s="8" t="n"/>
      <c r="L71" s="8" t="n"/>
    </row>
    <row r="72">
      <c r="A72" s="3" t="n"/>
      <c r="B72" s="4" t="n"/>
      <c r="C72" s="4" t="n"/>
      <c r="D72" s="4" t="n"/>
      <c r="E72" s="4" t="n"/>
      <c r="F72" s="4">
        <f>IF(D72&lt;&gt;"",D72-E72,"")</f>
        <v/>
      </c>
      <c r="G72" s="4" t="n"/>
      <c r="H72" s="4" t="n"/>
      <c r="I72" s="4">
        <f>IF(D72&lt;&gt;"",E72*G72-F72*H72,"")</f>
        <v/>
      </c>
      <c r="J72" s="5">
        <f>IF(D72&gt;0,E72/D72,"")</f>
        <v/>
      </c>
      <c r="K72" s="4" t="n"/>
      <c r="L72" s="4" t="n"/>
    </row>
    <row r="73">
      <c r="A73" s="7" t="n"/>
      <c r="B73" s="8" t="n"/>
      <c r="C73" s="8" t="n"/>
      <c r="D73" s="8" t="n"/>
      <c r="E73" s="8" t="n"/>
      <c r="F73" s="8">
        <f>IF(D73&lt;&gt;"",D73-E73,"")</f>
        <v/>
      </c>
      <c r="G73" s="8" t="n"/>
      <c r="H73" s="8" t="n"/>
      <c r="I73" s="8">
        <f>IF(D73&lt;&gt;"",E73*G73-F73*H73,"")</f>
        <v/>
      </c>
      <c r="J73" s="9">
        <f>IF(D73&gt;0,E73/D73,"")</f>
        <v/>
      </c>
      <c r="K73" s="8" t="n"/>
      <c r="L73" s="8" t="n"/>
    </row>
    <row r="74">
      <c r="A74" s="3" t="n"/>
      <c r="B74" s="4" t="n"/>
      <c r="C74" s="4" t="n"/>
      <c r="D74" s="4" t="n"/>
      <c r="E74" s="4" t="n"/>
      <c r="F74" s="4">
        <f>IF(D74&lt;&gt;"",D74-E74,"")</f>
        <v/>
      </c>
      <c r="G74" s="4" t="n"/>
      <c r="H74" s="4" t="n"/>
      <c r="I74" s="4">
        <f>IF(D74&lt;&gt;"",E74*G74-F74*H74,"")</f>
        <v/>
      </c>
      <c r="J74" s="5">
        <f>IF(D74&gt;0,E74/D74,"")</f>
        <v/>
      </c>
      <c r="K74" s="4" t="n"/>
      <c r="L74" s="4" t="n"/>
    </row>
    <row r="75">
      <c r="A75" s="7" t="n"/>
      <c r="B75" s="8" t="n"/>
      <c r="C75" s="8" t="n"/>
      <c r="D75" s="8" t="n"/>
      <c r="E75" s="8" t="n"/>
      <c r="F75" s="8">
        <f>IF(D75&lt;&gt;"",D75-E75,"")</f>
        <v/>
      </c>
      <c r="G75" s="8" t="n"/>
      <c r="H75" s="8" t="n"/>
      <c r="I75" s="8">
        <f>IF(D75&lt;&gt;"",E75*G75-F75*H75,"")</f>
        <v/>
      </c>
      <c r="J75" s="9">
        <f>IF(D75&gt;0,E75/D75,"")</f>
        <v/>
      </c>
      <c r="K75" s="8" t="n"/>
      <c r="L75" s="8" t="n"/>
    </row>
    <row r="76">
      <c r="A76" s="3" t="n"/>
      <c r="B76" s="4" t="n"/>
      <c r="C76" s="4" t="n"/>
      <c r="D76" s="4" t="n"/>
      <c r="E76" s="4" t="n"/>
      <c r="F76" s="4">
        <f>IF(D76&lt;&gt;"",D76-E76,"")</f>
        <v/>
      </c>
      <c r="G76" s="4" t="n"/>
      <c r="H76" s="4" t="n"/>
      <c r="I76" s="4">
        <f>IF(D76&lt;&gt;"",E76*G76-F76*H76,"")</f>
        <v/>
      </c>
      <c r="J76" s="5">
        <f>IF(D76&gt;0,E76/D76,"")</f>
        <v/>
      </c>
      <c r="K76" s="4" t="n"/>
      <c r="L76" s="4" t="n"/>
    </row>
    <row r="77">
      <c r="A77" s="7" t="n"/>
      <c r="B77" s="8" t="n"/>
      <c r="C77" s="8" t="n"/>
      <c r="D77" s="8" t="n"/>
      <c r="E77" s="8" t="n"/>
      <c r="F77" s="8">
        <f>IF(D77&lt;&gt;"",D77-E77,"")</f>
        <v/>
      </c>
      <c r="G77" s="8" t="n"/>
      <c r="H77" s="8" t="n"/>
      <c r="I77" s="8">
        <f>IF(D77&lt;&gt;"",E77*G77-F77*H77,"")</f>
        <v/>
      </c>
      <c r="J77" s="9">
        <f>IF(D77&gt;0,E77/D77,"")</f>
        <v/>
      </c>
      <c r="K77" s="8" t="n"/>
      <c r="L77" s="8" t="n"/>
    </row>
    <row r="78">
      <c r="A78" s="3" t="n"/>
      <c r="B78" s="4" t="n"/>
      <c r="C78" s="4" t="n"/>
      <c r="D78" s="4" t="n"/>
      <c r="E78" s="4" t="n"/>
      <c r="F78" s="4">
        <f>IF(D78&lt;&gt;"",D78-E78,"")</f>
        <v/>
      </c>
      <c r="G78" s="4" t="n"/>
      <c r="H78" s="4" t="n"/>
      <c r="I78" s="4">
        <f>IF(D78&lt;&gt;"",E78*G78-F78*H78,"")</f>
        <v/>
      </c>
      <c r="J78" s="5">
        <f>IF(D78&gt;0,E78/D78,"")</f>
        <v/>
      </c>
      <c r="K78" s="4" t="n"/>
      <c r="L78" s="4" t="n"/>
    </row>
    <row r="79">
      <c r="A79" s="7" t="n"/>
      <c r="B79" s="8" t="n"/>
      <c r="C79" s="8" t="n"/>
      <c r="D79" s="8" t="n"/>
      <c r="E79" s="8" t="n"/>
      <c r="F79" s="8">
        <f>IF(D79&lt;&gt;"",D79-E79,"")</f>
        <v/>
      </c>
      <c r="G79" s="8" t="n"/>
      <c r="H79" s="8" t="n"/>
      <c r="I79" s="8">
        <f>IF(D79&lt;&gt;"",E79*G79-F79*H79,"")</f>
        <v/>
      </c>
      <c r="J79" s="9">
        <f>IF(D79&gt;0,E79/D79,"")</f>
        <v/>
      </c>
      <c r="K79" s="8" t="n"/>
      <c r="L79" s="8" t="n"/>
    </row>
    <row r="80">
      <c r="A80" s="3" t="n"/>
      <c r="B80" s="4" t="n"/>
      <c r="C80" s="4" t="n"/>
      <c r="D80" s="4" t="n"/>
      <c r="E80" s="4" t="n"/>
      <c r="F80" s="4">
        <f>IF(D80&lt;&gt;"",D80-E80,"")</f>
        <v/>
      </c>
      <c r="G80" s="4" t="n"/>
      <c r="H80" s="4" t="n"/>
      <c r="I80" s="4">
        <f>IF(D80&lt;&gt;"",E80*G80-F80*H80,"")</f>
        <v/>
      </c>
      <c r="J80" s="5">
        <f>IF(D80&gt;0,E80/D80,"")</f>
        <v/>
      </c>
      <c r="K80" s="4" t="n"/>
      <c r="L80" s="4" t="n"/>
    </row>
    <row r="81">
      <c r="A81" s="7" t="n"/>
      <c r="B81" s="8" t="n"/>
      <c r="C81" s="8" t="n"/>
      <c r="D81" s="8" t="n"/>
      <c r="E81" s="8" t="n"/>
      <c r="F81" s="8">
        <f>IF(D81&lt;&gt;"",D81-E81,"")</f>
        <v/>
      </c>
      <c r="G81" s="8" t="n"/>
      <c r="H81" s="8" t="n"/>
      <c r="I81" s="8">
        <f>IF(D81&lt;&gt;"",E81*G81-F81*H81,"")</f>
        <v/>
      </c>
      <c r="J81" s="9">
        <f>IF(D81&gt;0,E81/D81,"")</f>
        <v/>
      </c>
      <c r="K81" s="8" t="n"/>
      <c r="L81" s="8" t="n"/>
    </row>
    <row r="82">
      <c r="A82" s="3" t="n"/>
      <c r="B82" s="4" t="n"/>
      <c r="C82" s="4" t="n"/>
      <c r="D82" s="4" t="n"/>
      <c r="E82" s="4" t="n"/>
      <c r="F82" s="4">
        <f>IF(D82&lt;&gt;"",D82-E82,"")</f>
        <v/>
      </c>
      <c r="G82" s="4" t="n"/>
      <c r="H82" s="4" t="n"/>
      <c r="I82" s="4">
        <f>IF(D82&lt;&gt;"",E82*G82-F82*H82,"")</f>
        <v/>
      </c>
      <c r="J82" s="5">
        <f>IF(D82&gt;0,E82/D82,"")</f>
        <v/>
      </c>
      <c r="K82" s="4" t="n"/>
      <c r="L82" s="4" t="n"/>
    </row>
    <row r="83">
      <c r="A83" s="7" t="n"/>
      <c r="B83" s="8" t="n"/>
      <c r="C83" s="8" t="n"/>
      <c r="D83" s="8" t="n"/>
      <c r="E83" s="8" t="n"/>
      <c r="F83" s="8">
        <f>IF(D83&lt;&gt;"",D83-E83,"")</f>
        <v/>
      </c>
      <c r="G83" s="8" t="n"/>
      <c r="H83" s="8" t="n"/>
      <c r="I83" s="8">
        <f>IF(D83&lt;&gt;"",E83*G83-F83*H83,"")</f>
        <v/>
      </c>
      <c r="J83" s="9">
        <f>IF(D83&gt;0,E83/D83,"")</f>
        <v/>
      </c>
      <c r="K83" s="8" t="n"/>
      <c r="L83" s="8" t="n"/>
    </row>
    <row r="84">
      <c r="A84" s="3" t="n"/>
      <c r="B84" s="4" t="n"/>
      <c r="C84" s="4" t="n"/>
      <c r="D84" s="4" t="n"/>
      <c r="E84" s="4" t="n"/>
      <c r="F84" s="4">
        <f>IF(D84&lt;&gt;"",D84-E84,"")</f>
        <v/>
      </c>
      <c r="G84" s="4" t="n"/>
      <c r="H84" s="4" t="n"/>
      <c r="I84" s="4">
        <f>IF(D84&lt;&gt;"",E84*G84-F84*H84,"")</f>
        <v/>
      </c>
      <c r="J84" s="5">
        <f>IF(D84&gt;0,E84/D84,"")</f>
        <v/>
      </c>
      <c r="K84" s="4" t="n"/>
      <c r="L84" s="4" t="n"/>
    </row>
    <row r="85">
      <c r="A85" s="7" t="n"/>
      <c r="B85" s="8" t="n"/>
      <c r="C85" s="8" t="n"/>
      <c r="D85" s="8" t="n"/>
      <c r="E85" s="8" t="n"/>
      <c r="F85" s="8">
        <f>IF(D85&lt;&gt;"",D85-E85,"")</f>
        <v/>
      </c>
      <c r="G85" s="8" t="n"/>
      <c r="H85" s="8" t="n"/>
      <c r="I85" s="8">
        <f>IF(D85&lt;&gt;"",E85*G85-F85*H85,"")</f>
        <v/>
      </c>
      <c r="J85" s="9">
        <f>IF(D85&gt;0,E85/D85,"")</f>
        <v/>
      </c>
      <c r="K85" s="8" t="n"/>
      <c r="L85" s="8" t="n"/>
    </row>
    <row r="86">
      <c r="A86" s="3" t="n"/>
      <c r="B86" s="4" t="n"/>
      <c r="C86" s="4" t="n"/>
      <c r="D86" s="4" t="n"/>
      <c r="E86" s="4" t="n"/>
      <c r="F86" s="4">
        <f>IF(D86&lt;&gt;"",D86-E86,"")</f>
        <v/>
      </c>
      <c r="G86" s="4" t="n"/>
      <c r="H86" s="4" t="n"/>
      <c r="I86" s="4">
        <f>IF(D86&lt;&gt;"",E86*G86-F86*H86,"")</f>
        <v/>
      </c>
      <c r="J86" s="5">
        <f>IF(D86&gt;0,E86/D86,"")</f>
        <v/>
      </c>
      <c r="K86" s="4" t="n"/>
      <c r="L86" s="4" t="n"/>
    </row>
    <row r="87">
      <c r="A87" s="7" t="n"/>
      <c r="B87" s="8" t="n"/>
      <c r="C87" s="8" t="n"/>
      <c r="D87" s="8" t="n"/>
      <c r="E87" s="8" t="n"/>
      <c r="F87" s="8">
        <f>IF(D87&lt;&gt;"",D87-E87,"")</f>
        <v/>
      </c>
      <c r="G87" s="8" t="n"/>
      <c r="H87" s="8" t="n"/>
      <c r="I87" s="8">
        <f>IF(D87&lt;&gt;"",E87*G87-F87*H87,"")</f>
        <v/>
      </c>
      <c r="J87" s="9">
        <f>IF(D87&gt;0,E87/D87,"")</f>
        <v/>
      </c>
      <c r="K87" s="8" t="n"/>
      <c r="L87" s="8" t="n"/>
    </row>
    <row r="88">
      <c r="A88" s="3" t="n"/>
      <c r="B88" s="4" t="n"/>
      <c r="C88" s="4" t="n"/>
      <c r="D88" s="4" t="n"/>
      <c r="E88" s="4" t="n"/>
      <c r="F88" s="4">
        <f>IF(D88&lt;&gt;"",D88-E88,"")</f>
        <v/>
      </c>
      <c r="G88" s="4" t="n"/>
      <c r="H88" s="4" t="n"/>
      <c r="I88" s="4">
        <f>IF(D88&lt;&gt;"",E88*G88-F88*H88,"")</f>
        <v/>
      </c>
      <c r="J88" s="5">
        <f>IF(D88&gt;0,E88/D88,"")</f>
        <v/>
      </c>
      <c r="K88" s="4" t="n"/>
      <c r="L88" s="4" t="n"/>
    </row>
    <row r="89">
      <c r="A89" s="7" t="n"/>
      <c r="B89" s="8" t="n"/>
      <c r="C89" s="8" t="n"/>
      <c r="D89" s="8" t="n"/>
      <c r="E89" s="8" t="n"/>
      <c r="F89" s="8">
        <f>IF(D89&lt;&gt;"",D89-E89,"")</f>
        <v/>
      </c>
      <c r="G89" s="8" t="n"/>
      <c r="H89" s="8" t="n"/>
      <c r="I89" s="8">
        <f>IF(D89&lt;&gt;"",E89*G89-F89*H89,"")</f>
        <v/>
      </c>
      <c r="J89" s="9">
        <f>IF(D89&gt;0,E89/D89,"")</f>
        <v/>
      </c>
      <c r="K89" s="8" t="n"/>
      <c r="L89" s="8" t="n"/>
    </row>
    <row r="90">
      <c r="A90" s="3" t="n"/>
      <c r="B90" s="4" t="n"/>
      <c r="C90" s="4" t="n"/>
      <c r="D90" s="4" t="n"/>
      <c r="E90" s="4" t="n"/>
      <c r="F90" s="4">
        <f>IF(D90&lt;&gt;"",D90-E90,"")</f>
        <v/>
      </c>
      <c r="G90" s="4" t="n"/>
      <c r="H90" s="4" t="n"/>
      <c r="I90" s="4">
        <f>IF(D90&lt;&gt;"",E90*G90-F90*H90,"")</f>
        <v/>
      </c>
      <c r="J90" s="5">
        <f>IF(D90&gt;0,E90/D90,"")</f>
        <v/>
      </c>
      <c r="K90" s="4" t="n"/>
      <c r="L90" s="4" t="n"/>
    </row>
    <row r="91">
      <c r="A91" s="7" t="n"/>
      <c r="B91" s="8" t="n"/>
      <c r="C91" s="8" t="n"/>
      <c r="D91" s="8" t="n"/>
      <c r="E91" s="8" t="n"/>
      <c r="F91" s="8">
        <f>IF(D91&lt;&gt;"",D91-E91,"")</f>
        <v/>
      </c>
      <c r="G91" s="8" t="n"/>
      <c r="H91" s="8" t="n"/>
      <c r="I91" s="8">
        <f>IF(D91&lt;&gt;"",E91*G91-F91*H91,"")</f>
        <v/>
      </c>
      <c r="J91" s="9">
        <f>IF(D91&gt;0,E91/D91,"")</f>
        <v/>
      </c>
      <c r="K91" s="8" t="n"/>
      <c r="L91" s="8" t="n"/>
    </row>
    <row r="92">
      <c r="A92" s="3" t="n"/>
      <c r="B92" s="4" t="n"/>
      <c r="C92" s="4" t="n"/>
      <c r="D92" s="4" t="n"/>
      <c r="E92" s="4" t="n"/>
      <c r="F92" s="4">
        <f>IF(D92&lt;&gt;"",D92-E92,"")</f>
        <v/>
      </c>
      <c r="G92" s="4" t="n"/>
      <c r="H92" s="4" t="n"/>
      <c r="I92" s="4">
        <f>IF(D92&lt;&gt;"",E92*G92-F92*H92,"")</f>
        <v/>
      </c>
      <c r="J92" s="5">
        <f>IF(D92&gt;0,E92/D92,"")</f>
        <v/>
      </c>
      <c r="K92" s="4" t="n"/>
      <c r="L92" s="4" t="n"/>
    </row>
    <row r="93">
      <c r="A93" s="7" t="n"/>
      <c r="B93" s="8" t="n"/>
      <c r="C93" s="8" t="n"/>
      <c r="D93" s="8" t="n"/>
      <c r="E93" s="8" t="n"/>
      <c r="F93" s="8">
        <f>IF(D93&lt;&gt;"",D93-E93,"")</f>
        <v/>
      </c>
      <c r="G93" s="8" t="n"/>
      <c r="H93" s="8" t="n"/>
      <c r="I93" s="8">
        <f>IF(D93&lt;&gt;"",E93*G93-F93*H93,"")</f>
        <v/>
      </c>
      <c r="J93" s="9">
        <f>IF(D93&gt;0,E93/D93,"")</f>
        <v/>
      </c>
      <c r="K93" s="8" t="n"/>
      <c r="L93" s="8" t="n"/>
    </row>
    <row r="94">
      <c r="A94" s="3" t="n"/>
      <c r="B94" s="4" t="n"/>
      <c r="C94" s="4" t="n"/>
      <c r="D94" s="4" t="n"/>
      <c r="E94" s="4" t="n"/>
      <c r="F94" s="4">
        <f>IF(D94&lt;&gt;"",D94-E94,"")</f>
        <v/>
      </c>
      <c r="G94" s="4" t="n"/>
      <c r="H94" s="4" t="n"/>
      <c r="I94" s="4">
        <f>IF(D94&lt;&gt;"",E94*G94-F94*H94,"")</f>
        <v/>
      </c>
      <c r="J94" s="5">
        <f>IF(D94&gt;0,E94/D94,"")</f>
        <v/>
      </c>
      <c r="K94" s="4" t="n"/>
      <c r="L94" s="4" t="n"/>
    </row>
    <row r="95">
      <c r="A95" s="7" t="n"/>
      <c r="B95" s="8" t="n"/>
      <c r="C95" s="8" t="n"/>
      <c r="D95" s="8" t="n"/>
      <c r="E95" s="8" t="n"/>
      <c r="F95" s="8">
        <f>IF(D95&lt;&gt;"",D95-E95,"")</f>
        <v/>
      </c>
      <c r="G95" s="8" t="n"/>
      <c r="H95" s="8" t="n"/>
      <c r="I95" s="8">
        <f>IF(D95&lt;&gt;"",E95*G95-F95*H95,"")</f>
        <v/>
      </c>
      <c r="J95" s="9">
        <f>IF(D95&gt;0,E95/D95,"")</f>
        <v/>
      </c>
      <c r="K95" s="8" t="n"/>
      <c r="L95" s="8" t="n"/>
    </row>
    <row r="96">
      <c r="A96" s="3" t="n"/>
      <c r="B96" s="4" t="n"/>
      <c r="C96" s="4" t="n"/>
      <c r="D96" s="4" t="n"/>
      <c r="E96" s="4" t="n"/>
      <c r="F96" s="4">
        <f>IF(D96&lt;&gt;"",D96-E96,"")</f>
        <v/>
      </c>
      <c r="G96" s="4" t="n"/>
      <c r="H96" s="4" t="n"/>
      <c r="I96" s="4">
        <f>IF(D96&lt;&gt;"",E96*G96-F96*H96,"")</f>
        <v/>
      </c>
      <c r="J96" s="5">
        <f>IF(D96&gt;0,E96/D96,"")</f>
        <v/>
      </c>
      <c r="K96" s="4" t="n"/>
      <c r="L96" s="4" t="n"/>
    </row>
    <row r="97">
      <c r="A97" s="7" t="n"/>
      <c r="B97" s="8" t="n"/>
      <c r="C97" s="8" t="n"/>
      <c r="D97" s="8" t="n"/>
      <c r="E97" s="8" t="n"/>
      <c r="F97" s="8">
        <f>IF(D97&lt;&gt;"",D97-E97,"")</f>
        <v/>
      </c>
      <c r="G97" s="8" t="n"/>
      <c r="H97" s="8" t="n"/>
      <c r="I97" s="8">
        <f>IF(D97&lt;&gt;"",E97*G97-F97*H97,"")</f>
        <v/>
      </c>
      <c r="J97" s="9">
        <f>IF(D97&gt;0,E97/D97,"")</f>
        <v/>
      </c>
      <c r="K97" s="8" t="n"/>
      <c r="L97" s="8" t="n"/>
    </row>
    <row r="98">
      <c r="A98" s="3" t="n"/>
      <c r="B98" s="4" t="n"/>
      <c r="C98" s="4" t="n"/>
      <c r="D98" s="4" t="n"/>
      <c r="E98" s="4" t="n"/>
      <c r="F98" s="4">
        <f>IF(D98&lt;&gt;"",D98-E98,"")</f>
        <v/>
      </c>
      <c r="G98" s="4" t="n"/>
      <c r="H98" s="4" t="n"/>
      <c r="I98" s="4">
        <f>IF(D98&lt;&gt;"",E98*G98-F98*H98,"")</f>
        <v/>
      </c>
      <c r="J98" s="5">
        <f>IF(D98&gt;0,E98/D98,"")</f>
        <v/>
      </c>
      <c r="K98" s="4" t="n"/>
      <c r="L98" s="4" t="n"/>
    </row>
    <row r="99">
      <c r="A99" s="7" t="n"/>
      <c r="B99" s="8" t="n"/>
      <c r="C99" s="8" t="n"/>
      <c r="D99" s="8" t="n"/>
      <c r="E99" s="8" t="n"/>
      <c r="F99" s="8">
        <f>IF(D99&lt;&gt;"",D99-E99,"")</f>
        <v/>
      </c>
      <c r="G99" s="8" t="n"/>
      <c r="H99" s="8" t="n"/>
      <c r="I99" s="8">
        <f>IF(D99&lt;&gt;"",E99*G99-F99*H99,"")</f>
        <v/>
      </c>
      <c r="J99" s="9">
        <f>IF(D99&gt;0,E99/D99,"")</f>
        <v/>
      </c>
      <c r="K99" s="8" t="n"/>
      <c r="L99" s="8" t="n"/>
    </row>
    <row r="100">
      <c r="A100" s="3" t="n"/>
      <c r="B100" s="4" t="n"/>
      <c r="C100" s="4" t="n"/>
      <c r="D100" s="4" t="n"/>
      <c r="E100" s="4" t="n"/>
      <c r="F100" s="4">
        <f>IF(D100&lt;&gt;"",D100-E100,"")</f>
        <v/>
      </c>
      <c r="G100" s="4" t="n"/>
      <c r="H100" s="4" t="n"/>
      <c r="I100" s="4">
        <f>IF(D100&lt;&gt;"",E100*G100-F100*H100,"")</f>
        <v/>
      </c>
      <c r="J100" s="5">
        <f>IF(D100&gt;0,E100/D100,"")</f>
        <v/>
      </c>
      <c r="K100" s="4" t="n"/>
      <c r="L100" s="4" t="n"/>
    </row>
    <row r="101">
      <c r="A101" s="7" t="n"/>
      <c r="B101" s="8" t="n"/>
      <c r="C101" s="8" t="n"/>
      <c r="D101" s="8" t="n"/>
      <c r="E101" s="8" t="n"/>
      <c r="F101" s="8">
        <f>IF(D101&lt;&gt;"",D101-E101,"")</f>
        <v/>
      </c>
      <c r="G101" s="8" t="n"/>
      <c r="H101" s="8" t="n"/>
      <c r="I101" s="8">
        <f>IF(D101&lt;&gt;"",E101*G101-F101*H101,"")</f>
        <v/>
      </c>
      <c r="J101" s="9">
        <f>IF(D101&gt;0,E101/D101,"")</f>
        <v/>
      </c>
      <c r="K101" s="8" t="n"/>
      <c r="L101" s="8" t="n"/>
    </row>
    <row r="102">
      <c r="A102" s="3" t="n"/>
      <c r="B102" s="4" t="n"/>
      <c r="C102" s="4" t="n"/>
      <c r="D102" s="4" t="n"/>
      <c r="E102" s="4" t="n"/>
      <c r="F102" s="4">
        <f>IF(D102&lt;&gt;"",D102-E102,"")</f>
        <v/>
      </c>
      <c r="G102" s="4" t="n"/>
      <c r="H102" s="4" t="n"/>
      <c r="I102" s="4">
        <f>IF(D102&lt;&gt;"",E102*G102-F102*H102,"")</f>
        <v/>
      </c>
      <c r="J102" s="5">
        <f>IF(D102&gt;0,E102/D102,"")</f>
        <v/>
      </c>
      <c r="K102" s="4" t="n"/>
      <c r="L102" s="4" t="n"/>
    </row>
    <row r="103">
      <c r="A103" s="7" t="n"/>
      <c r="B103" s="8" t="n"/>
      <c r="C103" s="8" t="n"/>
      <c r="D103" s="8" t="n"/>
      <c r="E103" s="8" t="n"/>
      <c r="F103" s="8">
        <f>IF(D103&lt;&gt;"",D103-E103,"")</f>
        <v/>
      </c>
      <c r="G103" s="8" t="n"/>
      <c r="H103" s="8" t="n"/>
      <c r="I103" s="8">
        <f>IF(D103&lt;&gt;"",E103*G103-F103*H103,"")</f>
        <v/>
      </c>
      <c r="J103" s="9">
        <f>IF(D103&gt;0,E103/D103,"")</f>
        <v/>
      </c>
      <c r="K103" s="8" t="n"/>
      <c r="L103" s="8" t="n"/>
    </row>
  </sheetData>
  <conditionalFormatting sqref="J4:J103">
    <cfRule type="cellIs" priority="1" operator="greaterThanOrEqual" dxfId="0">
      <formula>0.9</formula>
    </cfRule>
    <cfRule type="cellIs" priority="2" operator="lessThan" dxfId="1">
      <formula>0.7</formula>
    </cfRule>
  </conditionalFormatting>
  <dataValidations count="1">
    <dataValidation sqref="L4:L103" showDropDown="0" showInputMessage="0" showErrorMessage="0" allowBlank="1" type="list">
      <formula1>Lists!$A$1:$A$21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34" customWidth="1" min="4" max="4"/>
    <col width="18" customWidth="1" min="5" max="5"/>
    <col width="44" customWidth="1" min="6" max="6"/>
    <col width="10" customWidth="1" min="7" max="7"/>
  </cols>
  <sheetData>
    <row r="1">
      <c r="A1" s="1" t="inlineStr">
        <is>
          <t>Mistake log: redo every row a week later</t>
        </is>
      </c>
    </row>
    <row r="3" ht="30" customHeight="1">
      <c r="A3" s="2" t="inlineStr">
        <is>
          <t>Date</t>
        </is>
      </c>
      <c r="B3" s="2" t="inlineStr">
        <is>
          <t>Source (book / set / mock)</t>
        </is>
      </c>
      <c r="C3" s="2" t="inlineStr">
        <is>
          <t>Question no.</t>
        </is>
      </c>
      <c r="D3" s="2" t="inlineStr">
        <is>
          <t>Topic</t>
        </is>
      </c>
      <c r="E3" s="2" t="inlineStr">
        <is>
          <t>Reason</t>
        </is>
      </c>
      <c r="F3" s="2" t="inlineStr">
        <is>
          <t>What I will do differently</t>
        </is>
      </c>
      <c r="G3" s="2" t="inlineStr">
        <is>
          <t>Redone?</t>
        </is>
      </c>
    </row>
    <row r="4">
      <c r="A4" s="4" t="n"/>
      <c r="B4" s="4" t="n"/>
      <c r="C4" s="4" t="n"/>
      <c r="D4" s="4" t="n"/>
      <c r="E4" s="4" t="n"/>
      <c r="F4" s="4" t="n"/>
      <c r="G4" s="4" t="n"/>
    </row>
    <row r="5">
      <c r="A5" s="8" t="n"/>
      <c r="B5" s="8" t="n"/>
      <c r="C5" s="8" t="n"/>
      <c r="D5" s="8" t="n"/>
      <c r="E5" s="8" t="n"/>
      <c r="F5" s="8" t="n"/>
      <c r="G5" s="8" t="n"/>
    </row>
    <row r="6">
      <c r="A6" s="4" t="n"/>
      <c r="B6" s="4" t="n"/>
      <c r="C6" s="4" t="n"/>
      <c r="D6" s="4" t="n"/>
      <c r="E6" s="4" t="n"/>
      <c r="F6" s="4" t="n"/>
      <c r="G6" s="4" t="n"/>
    </row>
    <row r="7">
      <c r="A7" s="8" t="n"/>
      <c r="B7" s="8" t="n"/>
      <c r="C7" s="8" t="n"/>
      <c r="D7" s="8" t="n"/>
      <c r="E7" s="8" t="n"/>
      <c r="F7" s="8" t="n"/>
      <c r="G7" s="8" t="n"/>
    </row>
    <row r="8">
      <c r="A8" s="4" t="n"/>
      <c r="B8" s="4" t="n"/>
      <c r="C8" s="4" t="n"/>
      <c r="D8" s="4" t="n"/>
      <c r="E8" s="4" t="n"/>
      <c r="F8" s="4" t="n"/>
      <c r="G8" s="4" t="n"/>
    </row>
    <row r="9">
      <c r="A9" s="8" t="n"/>
      <c r="B9" s="8" t="n"/>
      <c r="C9" s="8" t="n"/>
      <c r="D9" s="8" t="n"/>
      <c r="E9" s="8" t="n"/>
      <c r="F9" s="8" t="n"/>
      <c r="G9" s="8" t="n"/>
    </row>
    <row r="10">
      <c r="A10" s="4" t="n"/>
      <c r="B10" s="4" t="n"/>
      <c r="C10" s="4" t="n"/>
      <c r="D10" s="4" t="n"/>
      <c r="E10" s="4" t="n"/>
      <c r="F10" s="4" t="n"/>
      <c r="G10" s="4" t="n"/>
    </row>
    <row r="11">
      <c r="A11" s="8" t="n"/>
      <c r="B11" s="8" t="n"/>
      <c r="C11" s="8" t="n"/>
      <c r="D11" s="8" t="n"/>
      <c r="E11" s="8" t="n"/>
      <c r="F11" s="8" t="n"/>
      <c r="G11" s="8" t="n"/>
    </row>
    <row r="12">
      <c r="A12" s="4" t="n"/>
      <c r="B12" s="4" t="n"/>
      <c r="C12" s="4" t="n"/>
      <c r="D12" s="4" t="n"/>
      <c r="E12" s="4" t="n"/>
      <c r="F12" s="4" t="n"/>
      <c r="G12" s="4" t="n"/>
    </row>
    <row r="13">
      <c r="A13" s="8" t="n"/>
      <c r="B13" s="8" t="n"/>
      <c r="C13" s="8" t="n"/>
      <c r="D13" s="8" t="n"/>
      <c r="E13" s="8" t="n"/>
      <c r="F13" s="8" t="n"/>
      <c r="G13" s="8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>
      <c r="A15" s="8" t="n"/>
      <c r="B15" s="8" t="n"/>
      <c r="C15" s="8" t="n"/>
      <c r="D15" s="8" t="n"/>
      <c r="E15" s="8" t="n"/>
      <c r="F15" s="8" t="n"/>
      <c r="G15" s="8" t="n"/>
    </row>
    <row r="16">
      <c r="A16" s="4" t="n"/>
      <c r="B16" s="4" t="n"/>
      <c r="C16" s="4" t="n"/>
      <c r="D16" s="4" t="n"/>
      <c r="E16" s="4" t="n"/>
      <c r="F16" s="4" t="n"/>
      <c r="G16" s="4" t="n"/>
    </row>
    <row r="17">
      <c r="A17" s="8" t="n"/>
      <c r="B17" s="8" t="n"/>
      <c r="C17" s="8" t="n"/>
      <c r="D17" s="8" t="n"/>
      <c r="E17" s="8" t="n"/>
      <c r="F17" s="8" t="n"/>
      <c r="G17" s="8" t="n"/>
    </row>
    <row r="18">
      <c r="A18" s="4" t="n"/>
      <c r="B18" s="4" t="n"/>
      <c r="C18" s="4" t="n"/>
      <c r="D18" s="4" t="n"/>
      <c r="E18" s="4" t="n"/>
      <c r="F18" s="4" t="n"/>
      <c r="G18" s="4" t="n"/>
    </row>
    <row r="19">
      <c r="A19" s="8" t="n"/>
      <c r="B19" s="8" t="n"/>
      <c r="C19" s="8" t="n"/>
      <c r="D19" s="8" t="n"/>
      <c r="E19" s="8" t="n"/>
      <c r="F19" s="8" t="n"/>
      <c r="G19" s="8" t="n"/>
    </row>
    <row r="20">
      <c r="A20" s="4" t="n"/>
      <c r="B20" s="4" t="n"/>
      <c r="C20" s="4" t="n"/>
      <c r="D20" s="4" t="n"/>
      <c r="E20" s="4" t="n"/>
      <c r="F20" s="4" t="n"/>
      <c r="G20" s="4" t="n"/>
    </row>
    <row r="21">
      <c r="A21" s="8" t="n"/>
      <c r="B21" s="8" t="n"/>
      <c r="C21" s="8" t="n"/>
      <c r="D21" s="8" t="n"/>
      <c r="E21" s="8" t="n"/>
      <c r="F21" s="8" t="n"/>
      <c r="G21" s="8" t="n"/>
    </row>
    <row r="22">
      <c r="A22" s="4" t="n"/>
      <c r="B22" s="4" t="n"/>
      <c r="C22" s="4" t="n"/>
      <c r="D22" s="4" t="n"/>
      <c r="E22" s="4" t="n"/>
      <c r="F22" s="4" t="n"/>
      <c r="G22" s="4" t="n"/>
    </row>
    <row r="23">
      <c r="A23" s="8" t="n"/>
      <c r="B23" s="8" t="n"/>
      <c r="C23" s="8" t="n"/>
      <c r="D23" s="8" t="n"/>
      <c r="E23" s="8" t="n"/>
      <c r="F23" s="8" t="n"/>
      <c r="G23" s="8" t="n"/>
    </row>
    <row r="24">
      <c r="A24" s="4" t="n"/>
      <c r="B24" s="4" t="n"/>
      <c r="C24" s="4" t="n"/>
      <c r="D24" s="4" t="n"/>
      <c r="E24" s="4" t="n"/>
      <c r="F24" s="4" t="n"/>
      <c r="G24" s="4" t="n"/>
    </row>
    <row r="25">
      <c r="A25" s="8" t="n"/>
      <c r="B25" s="8" t="n"/>
      <c r="C25" s="8" t="n"/>
      <c r="D25" s="8" t="n"/>
      <c r="E25" s="8" t="n"/>
      <c r="F25" s="8" t="n"/>
      <c r="G25" s="8" t="n"/>
    </row>
    <row r="26">
      <c r="A26" s="4" t="n"/>
      <c r="B26" s="4" t="n"/>
      <c r="C26" s="4" t="n"/>
      <c r="D26" s="4" t="n"/>
      <c r="E26" s="4" t="n"/>
      <c r="F26" s="4" t="n"/>
      <c r="G26" s="4" t="n"/>
    </row>
    <row r="27">
      <c r="A27" s="8" t="n"/>
      <c r="B27" s="8" t="n"/>
      <c r="C27" s="8" t="n"/>
      <c r="D27" s="8" t="n"/>
      <c r="E27" s="8" t="n"/>
      <c r="F27" s="8" t="n"/>
      <c r="G27" s="8" t="n"/>
    </row>
    <row r="28">
      <c r="A28" s="4" t="n"/>
      <c r="B28" s="4" t="n"/>
      <c r="C28" s="4" t="n"/>
      <c r="D28" s="4" t="n"/>
      <c r="E28" s="4" t="n"/>
      <c r="F28" s="4" t="n"/>
      <c r="G28" s="4" t="n"/>
    </row>
    <row r="29">
      <c r="A29" s="8" t="n"/>
      <c r="B29" s="8" t="n"/>
      <c r="C29" s="8" t="n"/>
      <c r="D29" s="8" t="n"/>
      <c r="E29" s="8" t="n"/>
      <c r="F29" s="8" t="n"/>
      <c r="G29" s="8" t="n"/>
    </row>
    <row r="30">
      <c r="A30" s="4" t="n"/>
      <c r="B30" s="4" t="n"/>
      <c r="C30" s="4" t="n"/>
      <c r="D30" s="4" t="n"/>
      <c r="E30" s="4" t="n"/>
      <c r="F30" s="4" t="n"/>
      <c r="G30" s="4" t="n"/>
    </row>
    <row r="31">
      <c r="A31" s="8" t="n"/>
      <c r="B31" s="8" t="n"/>
      <c r="C31" s="8" t="n"/>
      <c r="D31" s="8" t="n"/>
      <c r="E31" s="8" t="n"/>
      <c r="F31" s="8" t="n"/>
      <c r="G31" s="8" t="n"/>
    </row>
    <row r="32">
      <c r="A32" s="4" t="n"/>
      <c r="B32" s="4" t="n"/>
      <c r="C32" s="4" t="n"/>
      <c r="D32" s="4" t="n"/>
      <c r="E32" s="4" t="n"/>
      <c r="F32" s="4" t="n"/>
      <c r="G32" s="4" t="n"/>
    </row>
    <row r="33">
      <c r="A33" s="8" t="n"/>
      <c r="B33" s="8" t="n"/>
      <c r="C33" s="8" t="n"/>
      <c r="D33" s="8" t="n"/>
      <c r="E33" s="8" t="n"/>
      <c r="F33" s="8" t="n"/>
      <c r="G33" s="8" t="n"/>
    </row>
    <row r="34">
      <c r="A34" s="4" t="n"/>
      <c r="B34" s="4" t="n"/>
      <c r="C34" s="4" t="n"/>
      <c r="D34" s="4" t="n"/>
      <c r="E34" s="4" t="n"/>
      <c r="F34" s="4" t="n"/>
      <c r="G34" s="4" t="n"/>
    </row>
    <row r="35">
      <c r="A35" s="8" t="n"/>
      <c r="B35" s="8" t="n"/>
      <c r="C35" s="8" t="n"/>
      <c r="D35" s="8" t="n"/>
      <c r="E35" s="8" t="n"/>
      <c r="F35" s="8" t="n"/>
      <c r="G35" s="8" t="n"/>
    </row>
    <row r="36">
      <c r="A36" s="4" t="n"/>
      <c r="B36" s="4" t="n"/>
      <c r="C36" s="4" t="n"/>
      <c r="D36" s="4" t="n"/>
      <c r="E36" s="4" t="n"/>
      <c r="F36" s="4" t="n"/>
      <c r="G36" s="4" t="n"/>
    </row>
    <row r="37">
      <c r="A37" s="8" t="n"/>
      <c r="B37" s="8" t="n"/>
      <c r="C37" s="8" t="n"/>
      <c r="D37" s="8" t="n"/>
      <c r="E37" s="8" t="n"/>
      <c r="F37" s="8" t="n"/>
      <c r="G37" s="8" t="n"/>
    </row>
    <row r="38">
      <c r="A38" s="4" t="n"/>
      <c r="B38" s="4" t="n"/>
      <c r="C38" s="4" t="n"/>
      <c r="D38" s="4" t="n"/>
      <c r="E38" s="4" t="n"/>
      <c r="F38" s="4" t="n"/>
      <c r="G38" s="4" t="n"/>
    </row>
    <row r="39">
      <c r="A39" s="8" t="n"/>
      <c r="B39" s="8" t="n"/>
      <c r="C39" s="8" t="n"/>
      <c r="D39" s="8" t="n"/>
      <c r="E39" s="8" t="n"/>
      <c r="F39" s="8" t="n"/>
      <c r="G39" s="8" t="n"/>
    </row>
    <row r="40">
      <c r="A40" s="4" t="n"/>
      <c r="B40" s="4" t="n"/>
      <c r="C40" s="4" t="n"/>
      <c r="D40" s="4" t="n"/>
      <c r="E40" s="4" t="n"/>
      <c r="F40" s="4" t="n"/>
      <c r="G40" s="4" t="n"/>
    </row>
    <row r="41">
      <c r="A41" s="8" t="n"/>
      <c r="B41" s="8" t="n"/>
      <c r="C41" s="8" t="n"/>
      <c r="D41" s="8" t="n"/>
      <c r="E41" s="8" t="n"/>
      <c r="F41" s="8" t="n"/>
      <c r="G41" s="8" t="n"/>
    </row>
    <row r="42">
      <c r="A42" s="4" t="n"/>
      <c r="B42" s="4" t="n"/>
      <c r="C42" s="4" t="n"/>
      <c r="D42" s="4" t="n"/>
      <c r="E42" s="4" t="n"/>
      <c r="F42" s="4" t="n"/>
      <c r="G42" s="4" t="n"/>
    </row>
    <row r="43">
      <c r="A43" s="8" t="n"/>
      <c r="B43" s="8" t="n"/>
      <c r="C43" s="8" t="n"/>
      <c r="D43" s="8" t="n"/>
      <c r="E43" s="8" t="n"/>
      <c r="F43" s="8" t="n"/>
      <c r="G43" s="8" t="n"/>
    </row>
    <row r="44">
      <c r="A44" s="4" t="n"/>
      <c r="B44" s="4" t="n"/>
      <c r="C44" s="4" t="n"/>
      <c r="D44" s="4" t="n"/>
      <c r="E44" s="4" t="n"/>
      <c r="F44" s="4" t="n"/>
      <c r="G44" s="4" t="n"/>
    </row>
    <row r="45">
      <c r="A45" s="8" t="n"/>
      <c r="B45" s="8" t="n"/>
      <c r="C45" s="8" t="n"/>
      <c r="D45" s="8" t="n"/>
      <c r="E45" s="8" t="n"/>
      <c r="F45" s="8" t="n"/>
      <c r="G45" s="8" t="n"/>
    </row>
    <row r="46">
      <c r="A46" s="4" t="n"/>
      <c r="B46" s="4" t="n"/>
      <c r="C46" s="4" t="n"/>
      <c r="D46" s="4" t="n"/>
      <c r="E46" s="4" t="n"/>
      <c r="F46" s="4" t="n"/>
      <c r="G46" s="4" t="n"/>
    </row>
    <row r="47">
      <c r="A47" s="8" t="n"/>
      <c r="B47" s="8" t="n"/>
      <c r="C47" s="8" t="n"/>
      <c r="D47" s="8" t="n"/>
      <c r="E47" s="8" t="n"/>
      <c r="F47" s="8" t="n"/>
      <c r="G47" s="8" t="n"/>
    </row>
    <row r="48">
      <c r="A48" s="4" t="n"/>
      <c r="B48" s="4" t="n"/>
      <c r="C48" s="4" t="n"/>
      <c r="D48" s="4" t="n"/>
      <c r="E48" s="4" t="n"/>
      <c r="F48" s="4" t="n"/>
      <c r="G48" s="4" t="n"/>
    </row>
    <row r="49">
      <c r="A49" s="8" t="n"/>
      <c r="B49" s="8" t="n"/>
      <c r="C49" s="8" t="n"/>
      <c r="D49" s="8" t="n"/>
      <c r="E49" s="8" t="n"/>
      <c r="F49" s="8" t="n"/>
      <c r="G49" s="8" t="n"/>
    </row>
    <row r="50">
      <c r="A50" s="4" t="n"/>
      <c r="B50" s="4" t="n"/>
      <c r="C50" s="4" t="n"/>
      <c r="D50" s="4" t="n"/>
      <c r="E50" s="4" t="n"/>
      <c r="F50" s="4" t="n"/>
      <c r="G50" s="4" t="n"/>
    </row>
    <row r="51">
      <c r="A51" s="8" t="n"/>
      <c r="B51" s="8" t="n"/>
      <c r="C51" s="8" t="n"/>
      <c r="D51" s="8" t="n"/>
      <c r="E51" s="8" t="n"/>
      <c r="F51" s="8" t="n"/>
      <c r="G51" s="8" t="n"/>
    </row>
    <row r="52">
      <c r="A52" s="4" t="n"/>
      <c r="B52" s="4" t="n"/>
      <c r="C52" s="4" t="n"/>
      <c r="D52" s="4" t="n"/>
      <c r="E52" s="4" t="n"/>
      <c r="F52" s="4" t="n"/>
      <c r="G52" s="4" t="n"/>
    </row>
    <row r="53">
      <c r="A53" s="8" t="n"/>
      <c r="B53" s="8" t="n"/>
      <c r="C53" s="8" t="n"/>
      <c r="D53" s="8" t="n"/>
      <c r="E53" s="8" t="n"/>
      <c r="F53" s="8" t="n"/>
      <c r="G53" s="8" t="n"/>
    </row>
    <row r="54">
      <c r="A54" s="4" t="n"/>
      <c r="B54" s="4" t="n"/>
      <c r="C54" s="4" t="n"/>
      <c r="D54" s="4" t="n"/>
      <c r="E54" s="4" t="n"/>
      <c r="F54" s="4" t="n"/>
      <c r="G54" s="4" t="n"/>
    </row>
    <row r="55">
      <c r="A55" s="8" t="n"/>
      <c r="B55" s="8" t="n"/>
      <c r="C55" s="8" t="n"/>
      <c r="D55" s="8" t="n"/>
      <c r="E55" s="8" t="n"/>
      <c r="F55" s="8" t="n"/>
      <c r="G55" s="8" t="n"/>
    </row>
    <row r="56">
      <c r="A56" s="4" t="n"/>
      <c r="B56" s="4" t="n"/>
      <c r="C56" s="4" t="n"/>
      <c r="D56" s="4" t="n"/>
      <c r="E56" s="4" t="n"/>
      <c r="F56" s="4" t="n"/>
      <c r="G56" s="4" t="n"/>
    </row>
    <row r="57">
      <c r="A57" s="8" t="n"/>
      <c r="B57" s="8" t="n"/>
      <c r="C57" s="8" t="n"/>
      <c r="D57" s="8" t="n"/>
      <c r="E57" s="8" t="n"/>
      <c r="F57" s="8" t="n"/>
      <c r="G57" s="8" t="n"/>
    </row>
    <row r="58">
      <c r="A58" s="4" t="n"/>
      <c r="B58" s="4" t="n"/>
      <c r="C58" s="4" t="n"/>
      <c r="D58" s="4" t="n"/>
      <c r="E58" s="4" t="n"/>
      <c r="F58" s="4" t="n"/>
      <c r="G58" s="4" t="n"/>
    </row>
    <row r="59">
      <c r="A59" s="8" t="n"/>
      <c r="B59" s="8" t="n"/>
      <c r="C59" s="8" t="n"/>
      <c r="D59" s="8" t="n"/>
      <c r="E59" s="8" t="n"/>
      <c r="F59" s="8" t="n"/>
      <c r="G59" s="8" t="n"/>
    </row>
    <row r="60">
      <c r="A60" s="4" t="n"/>
      <c r="B60" s="4" t="n"/>
      <c r="C60" s="4" t="n"/>
      <c r="D60" s="4" t="n"/>
      <c r="E60" s="4" t="n"/>
      <c r="F60" s="4" t="n"/>
      <c r="G60" s="4" t="n"/>
    </row>
    <row r="61">
      <c r="A61" s="8" t="n"/>
      <c r="B61" s="8" t="n"/>
      <c r="C61" s="8" t="n"/>
      <c r="D61" s="8" t="n"/>
      <c r="E61" s="8" t="n"/>
      <c r="F61" s="8" t="n"/>
      <c r="G61" s="8" t="n"/>
    </row>
    <row r="62">
      <c r="A62" s="4" t="n"/>
      <c r="B62" s="4" t="n"/>
      <c r="C62" s="4" t="n"/>
      <c r="D62" s="4" t="n"/>
      <c r="E62" s="4" t="n"/>
      <c r="F62" s="4" t="n"/>
      <c r="G62" s="4" t="n"/>
    </row>
    <row r="63">
      <c r="A63" s="8" t="n"/>
      <c r="B63" s="8" t="n"/>
      <c r="C63" s="8" t="n"/>
      <c r="D63" s="8" t="n"/>
      <c r="E63" s="8" t="n"/>
      <c r="F63" s="8" t="n"/>
      <c r="G63" s="8" t="n"/>
    </row>
    <row r="64">
      <c r="A64" s="4" t="n"/>
      <c r="B64" s="4" t="n"/>
      <c r="C64" s="4" t="n"/>
      <c r="D64" s="4" t="n"/>
      <c r="E64" s="4" t="n"/>
      <c r="F64" s="4" t="n"/>
      <c r="G64" s="4" t="n"/>
    </row>
    <row r="65">
      <c r="A65" s="8" t="n"/>
      <c r="B65" s="8" t="n"/>
      <c r="C65" s="8" t="n"/>
      <c r="D65" s="8" t="n"/>
      <c r="E65" s="8" t="n"/>
      <c r="F65" s="8" t="n"/>
      <c r="G65" s="8" t="n"/>
    </row>
    <row r="66">
      <c r="A66" s="4" t="n"/>
      <c r="B66" s="4" t="n"/>
      <c r="C66" s="4" t="n"/>
      <c r="D66" s="4" t="n"/>
      <c r="E66" s="4" t="n"/>
      <c r="F66" s="4" t="n"/>
      <c r="G66" s="4" t="n"/>
    </row>
    <row r="67">
      <c r="A67" s="8" t="n"/>
      <c r="B67" s="8" t="n"/>
      <c r="C67" s="8" t="n"/>
      <c r="D67" s="8" t="n"/>
      <c r="E67" s="8" t="n"/>
      <c r="F67" s="8" t="n"/>
      <c r="G67" s="8" t="n"/>
    </row>
    <row r="68">
      <c r="A68" s="4" t="n"/>
      <c r="B68" s="4" t="n"/>
      <c r="C68" s="4" t="n"/>
      <c r="D68" s="4" t="n"/>
      <c r="E68" s="4" t="n"/>
      <c r="F68" s="4" t="n"/>
      <c r="G68" s="4" t="n"/>
    </row>
    <row r="69">
      <c r="A69" s="8" t="n"/>
      <c r="B69" s="8" t="n"/>
      <c r="C69" s="8" t="n"/>
      <c r="D69" s="8" t="n"/>
      <c r="E69" s="8" t="n"/>
      <c r="F69" s="8" t="n"/>
      <c r="G69" s="8" t="n"/>
    </row>
    <row r="70">
      <c r="A70" s="4" t="n"/>
      <c r="B70" s="4" t="n"/>
      <c r="C70" s="4" t="n"/>
      <c r="D70" s="4" t="n"/>
      <c r="E70" s="4" t="n"/>
      <c r="F70" s="4" t="n"/>
      <c r="G70" s="4" t="n"/>
    </row>
    <row r="71">
      <c r="A71" s="8" t="n"/>
      <c r="B71" s="8" t="n"/>
      <c r="C71" s="8" t="n"/>
      <c r="D71" s="8" t="n"/>
      <c r="E71" s="8" t="n"/>
      <c r="F71" s="8" t="n"/>
      <c r="G71" s="8" t="n"/>
    </row>
    <row r="72">
      <c r="A72" s="4" t="n"/>
      <c r="B72" s="4" t="n"/>
      <c r="C72" s="4" t="n"/>
      <c r="D72" s="4" t="n"/>
      <c r="E72" s="4" t="n"/>
      <c r="F72" s="4" t="n"/>
      <c r="G72" s="4" t="n"/>
    </row>
    <row r="73">
      <c r="A73" s="8" t="n"/>
      <c r="B73" s="8" t="n"/>
      <c r="C73" s="8" t="n"/>
      <c r="D73" s="8" t="n"/>
      <c r="E73" s="8" t="n"/>
      <c r="F73" s="8" t="n"/>
      <c r="G73" s="8" t="n"/>
    </row>
    <row r="74">
      <c r="A74" s="4" t="n"/>
      <c r="B74" s="4" t="n"/>
      <c r="C74" s="4" t="n"/>
      <c r="D74" s="4" t="n"/>
      <c r="E74" s="4" t="n"/>
      <c r="F74" s="4" t="n"/>
      <c r="G74" s="4" t="n"/>
    </row>
    <row r="75">
      <c r="A75" s="8" t="n"/>
      <c r="B75" s="8" t="n"/>
      <c r="C75" s="8" t="n"/>
      <c r="D75" s="8" t="n"/>
      <c r="E75" s="8" t="n"/>
      <c r="F75" s="8" t="n"/>
      <c r="G75" s="8" t="n"/>
    </row>
    <row r="76">
      <c r="A76" s="4" t="n"/>
      <c r="B76" s="4" t="n"/>
      <c r="C76" s="4" t="n"/>
      <c r="D76" s="4" t="n"/>
      <c r="E76" s="4" t="n"/>
      <c r="F76" s="4" t="n"/>
      <c r="G76" s="4" t="n"/>
    </row>
    <row r="77">
      <c r="A77" s="8" t="n"/>
      <c r="B77" s="8" t="n"/>
      <c r="C77" s="8" t="n"/>
      <c r="D77" s="8" t="n"/>
      <c r="E77" s="8" t="n"/>
      <c r="F77" s="8" t="n"/>
      <c r="G77" s="8" t="n"/>
    </row>
    <row r="78">
      <c r="A78" s="4" t="n"/>
      <c r="B78" s="4" t="n"/>
      <c r="C78" s="4" t="n"/>
      <c r="D78" s="4" t="n"/>
      <c r="E78" s="4" t="n"/>
      <c r="F78" s="4" t="n"/>
      <c r="G78" s="4" t="n"/>
    </row>
    <row r="79">
      <c r="A79" s="8" t="n"/>
      <c r="B79" s="8" t="n"/>
      <c r="C79" s="8" t="n"/>
      <c r="D79" s="8" t="n"/>
      <c r="E79" s="8" t="n"/>
      <c r="F79" s="8" t="n"/>
      <c r="G79" s="8" t="n"/>
    </row>
    <row r="80">
      <c r="A80" s="4" t="n"/>
      <c r="B80" s="4" t="n"/>
      <c r="C80" s="4" t="n"/>
      <c r="D80" s="4" t="n"/>
      <c r="E80" s="4" t="n"/>
      <c r="F80" s="4" t="n"/>
      <c r="G80" s="4" t="n"/>
    </row>
    <row r="81">
      <c r="A81" s="8" t="n"/>
      <c r="B81" s="8" t="n"/>
      <c r="C81" s="8" t="n"/>
      <c r="D81" s="8" t="n"/>
      <c r="E81" s="8" t="n"/>
      <c r="F81" s="8" t="n"/>
      <c r="G81" s="8" t="n"/>
    </row>
    <row r="82">
      <c r="A82" s="4" t="n"/>
      <c r="B82" s="4" t="n"/>
      <c r="C82" s="4" t="n"/>
      <c r="D82" s="4" t="n"/>
      <c r="E82" s="4" t="n"/>
      <c r="F82" s="4" t="n"/>
      <c r="G82" s="4" t="n"/>
    </row>
    <row r="83">
      <c r="A83" s="8" t="n"/>
      <c r="B83" s="8" t="n"/>
      <c r="C83" s="8" t="n"/>
      <c r="D83" s="8" t="n"/>
      <c r="E83" s="8" t="n"/>
      <c r="F83" s="8" t="n"/>
      <c r="G83" s="8" t="n"/>
    </row>
    <row r="84">
      <c r="A84" s="4" t="n"/>
      <c r="B84" s="4" t="n"/>
      <c r="C84" s="4" t="n"/>
      <c r="D84" s="4" t="n"/>
      <c r="E84" s="4" t="n"/>
      <c r="F84" s="4" t="n"/>
      <c r="G84" s="4" t="n"/>
    </row>
    <row r="85">
      <c r="A85" s="8" t="n"/>
      <c r="B85" s="8" t="n"/>
      <c r="C85" s="8" t="n"/>
      <c r="D85" s="8" t="n"/>
      <c r="E85" s="8" t="n"/>
      <c r="F85" s="8" t="n"/>
      <c r="G85" s="8" t="n"/>
    </row>
    <row r="86">
      <c r="A86" s="4" t="n"/>
      <c r="B86" s="4" t="n"/>
      <c r="C86" s="4" t="n"/>
      <c r="D86" s="4" t="n"/>
      <c r="E86" s="4" t="n"/>
      <c r="F86" s="4" t="n"/>
      <c r="G86" s="4" t="n"/>
    </row>
    <row r="87">
      <c r="A87" s="8" t="n"/>
      <c r="B87" s="8" t="n"/>
      <c r="C87" s="8" t="n"/>
      <c r="D87" s="8" t="n"/>
      <c r="E87" s="8" t="n"/>
      <c r="F87" s="8" t="n"/>
      <c r="G87" s="8" t="n"/>
    </row>
    <row r="88">
      <c r="A88" s="4" t="n"/>
      <c r="B88" s="4" t="n"/>
      <c r="C88" s="4" t="n"/>
      <c r="D88" s="4" t="n"/>
      <c r="E88" s="4" t="n"/>
      <c r="F88" s="4" t="n"/>
      <c r="G88" s="4" t="n"/>
    </row>
    <row r="89">
      <c r="A89" s="8" t="n"/>
      <c r="B89" s="8" t="n"/>
      <c r="C89" s="8" t="n"/>
      <c r="D89" s="8" t="n"/>
      <c r="E89" s="8" t="n"/>
      <c r="F89" s="8" t="n"/>
      <c r="G89" s="8" t="n"/>
    </row>
    <row r="90">
      <c r="A90" s="4" t="n"/>
      <c r="B90" s="4" t="n"/>
      <c r="C90" s="4" t="n"/>
      <c r="D90" s="4" t="n"/>
      <c r="E90" s="4" t="n"/>
      <c r="F90" s="4" t="n"/>
      <c r="G90" s="4" t="n"/>
    </row>
    <row r="91">
      <c r="A91" s="8" t="n"/>
      <c r="B91" s="8" t="n"/>
      <c r="C91" s="8" t="n"/>
      <c r="D91" s="8" t="n"/>
      <c r="E91" s="8" t="n"/>
      <c r="F91" s="8" t="n"/>
      <c r="G91" s="8" t="n"/>
    </row>
    <row r="92">
      <c r="A92" s="4" t="n"/>
      <c r="B92" s="4" t="n"/>
      <c r="C92" s="4" t="n"/>
      <c r="D92" s="4" t="n"/>
      <c r="E92" s="4" t="n"/>
      <c r="F92" s="4" t="n"/>
      <c r="G92" s="4" t="n"/>
    </row>
    <row r="93">
      <c r="A93" s="8" t="n"/>
      <c r="B93" s="8" t="n"/>
      <c r="C93" s="8" t="n"/>
      <c r="D93" s="8" t="n"/>
      <c r="E93" s="8" t="n"/>
      <c r="F93" s="8" t="n"/>
      <c r="G93" s="8" t="n"/>
    </row>
    <row r="94">
      <c r="A94" s="4" t="n"/>
      <c r="B94" s="4" t="n"/>
      <c r="C94" s="4" t="n"/>
      <c r="D94" s="4" t="n"/>
      <c r="E94" s="4" t="n"/>
      <c r="F94" s="4" t="n"/>
      <c r="G94" s="4" t="n"/>
    </row>
    <row r="95">
      <c r="A95" s="8" t="n"/>
      <c r="B95" s="8" t="n"/>
      <c r="C95" s="8" t="n"/>
      <c r="D95" s="8" t="n"/>
      <c r="E95" s="8" t="n"/>
      <c r="F95" s="8" t="n"/>
      <c r="G95" s="8" t="n"/>
    </row>
    <row r="96">
      <c r="A96" s="4" t="n"/>
      <c r="B96" s="4" t="n"/>
      <c r="C96" s="4" t="n"/>
      <c r="D96" s="4" t="n"/>
      <c r="E96" s="4" t="n"/>
      <c r="F96" s="4" t="n"/>
      <c r="G96" s="4" t="n"/>
    </row>
    <row r="97">
      <c r="A97" s="8" t="n"/>
      <c r="B97" s="8" t="n"/>
      <c r="C97" s="8" t="n"/>
      <c r="D97" s="8" t="n"/>
      <c r="E97" s="8" t="n"/>
      <c r="F97" s="8" t="n"/>
      <c r="G97" s="8" t="n"/>
    </row>
    <row r="98">
      <c r="A98" s="4" t="n"/>
      <c r="B98" s="4" t="n"/>
      <c r="C98" s="4" t="n"/>
      <c r="D98" s="4" t="n"/>
      <c r="E98" s="4" t="n"/>
      <c r="F98" s="4" t="n"/>
      <c r="G98" s="4" t="n"/>
    </row>
    <row r="99">
      <c r="A99" s="8" t="n"/>
      <c r="B99" s="8" t="n"/>
      <c r="C99" s="8" t="n"/>
      <c r="D99" s="8" t="n"/>
      <c r="E99" s="8" t="n"/>
      <c r="F99" s="8" t="n"/>
      <c r="G99" s="8" t="n"/>
    </row>
    <row r="100">
      <c r="A100" s="4" t="n"/>
      <c r="B100" s="4" t="n"/>
      <c r="C100" s="4" t="n"/>
      <c r="D100" s="4" t="n"/>
      <c r="E100" s="4" t="n"/>
      <c r="F100" s="4" t="n"/>
      <c r="G100" s="4" t="n"/>
    </row>
    <row r="101">
      <c r="A101" s="8" t="n"/>
      <c r="B101" s="8" t="n"/>
      <c r="C101" s="8" t="n"/>
      <c r="D101" s="8" t="n"/>
      <c r="E101" s="8" t="n"/>
      <c r="F101" s="8" t="n"/>
      <c r="G101" s="8" t="n"/>
    </row>
    <row r="102">
      <c r="A102" s="4" t="n"/>
      <c r="B102" s="4" t="n"/>
      <c r="C102" s="4" t="n"/>
      <c r="D102" s="4" t="n"/>
      <c r="E102" s="4" t="n"/>
      <c r="F102" s="4" t="n"/>
      <c r="G102" s="4" t="n"/>
    </row>
    <row r="103">
      <c r="A103" s="8" t="n"/>
      <c r="B103" s="8" t="n"/>
      <c r="C103" s="8" t="n"/>
      <c r="D103" s="8" t="n"/>
      <c r="E103" s="8" t="n"/>
      <c r="F103" s="8" t="n"/>
      <c r="G103" s="8" t="n"/>
    </row>
    <row r="104">
      <c r="A104" s="4" t="n"/>
      <c r="B104" s="4" t="n"/>
      <c r="C104" s="4" t="n"/>
      <c r="D104" s="4" t="n"/>
      <c r="E104" s="4" t="n"/>
      <c r="F104" s="4" t="n"/>
      <c r="G104" s="4" t="n"/>
    </row>
    <row r="105">
      <c r="A105" s="8" t="n"/>
      <c r="B105" s="8" t="n"/>
      <c r="C105" s="8" t="n"/>
      <c r="D105" s="8" t="n"/>
      <c r="E105" s="8" t="n"/>
      <c r="F105" s="8" t="n"/>
      <c r="G105" s="8" t="n"/>
    </row>
    <row r="106">
      <c r="A106" s="4" t="n"/>
      <c r="B106" s="4" t="n"/>
      <c r="C106" s="4" t="n"/>
      <c r="D106" s="4" t="n"/>
      <c r="E106" s="4" t="n"/>
      <c r="F106" s="4" t="n"/>
      <c r="G106" s="4" t="n"/>
    </row>
    <row r="107">
      <c r="A107" s="8" t="n"/>
      <c r="B107" s="8" t="n"/>
      <c r="C107" s="8" t="n"/>
      <c r="D107" s="8" t="n"/>
      <c r="E107" s="8" t="n"/>
      <c r="F107" s="8" t="n"/>
      <c r="G107" s="8" t="n"/>
    </row>
    <row r="108">
      <c r="A108" s="4" t="n"/>
      <c r="B108" s="4" t="n"/>
      <c r="C108" s="4" t="n"/>
      <c r="D108" s="4" t="n"/>
      <c r="E108" s="4" t="n"/>
      <c r="F108" s="4" t="n"/>
      <c r="G108" s="4" t="n"/>
    </row>
    <row r="109">
      <c r="A109" s="8" t="n"/>
      <c r="B109" s="8" t="n"/>
      <c r="C109" s="8" t="n"/>
      <c r="D109" s="8" t="n"/>
      <c r="E109" s="8" t="n"/>
      <c r="F109" s="8" t="n"/>
      <c r="G109" s="8" t="n"/>
    </row>
    <row r="110">
      <c r="A110" s="4" t="n"/>
      <c r="B110" s="4" t="n"/>
      <c r="C110" s="4" t="n"/>
      <c r="D110" s="4" t="n"/>
      <c r="E110" s="4" t="n"/>
      <c r="F110" s="4" t="n"/>
      <c r="G110" s="4" t="n"/>
    </row>
    <row r="111">
      <c r="A111" s="8" t="n"/>
      <c r="B111" s="8" t="n"/>
      <c r="C111" s="8" t="n"/>
      <c r="D111" s="8" t="n"/>
      <c r="E111" s="8" t="n"/>
      <c r="F111" s="8" t="n"/>
      <c r="G111" s="8" t="n"/>
    </row>
    <row r="112">
      <c r="A112" s="4" t="n"/>
      <c r="B112" s="4" t="n"/>
      <c r="C112" s="4" t="n"/>
      <c r="D112" s="4" t="n"/>
      <c r="E112" s="4" t="n"/>
      <c r="F112" s="4" t="n"/>
      <c r="G112" s="4" t="n"/>
    </row>
    <row r="113">
      <c r="A113" s="8" t="n"/>
      <c r="B113" s="8" t="n"/>
      <c r="C113" s="8" t="n"/>
      <c r="D113" s="8" t="n"/>
      <c r="E113" s="8" t="n"/>
      <c r="F113" s="8" t="n"/>
      <c r="G113" s="8" t="n"/>
    </row>
    <row r="114">
      <c r="A114" s="4" t="n"/>
      <c r="B114" s="4" t="n"/>
      <c r="C114" s="4" t="n"/>
      <c r="D114" s="4" t="n"/>
      <c r="E114" s="4" t="n"/>
      <c r="F114" s="4" t="n"/>
      <c r="G114" s="4" t="n"/>
    </row>
    <row r="115">
      <c r="A115" s="8" t="n"/>
      <c r="B115" s="8" t="n"/>
      <c r="C115" s="8" t="n"/>
      <c r="D115" s="8" t="n"/>
      <c r="E115" s="8" t="n"/>
      <c r="F115" s="8" t="n"/>
      <c r="G115" s="8" t="n"/>
    </row>
    <row r="116">
      <c r="A116" s="4" t="n"/>
      <c r="B116" s="4" t="n"/>
      <c r="C116" s="4" t="n"/>
      <c r="D116" s="4" t="n"/>
      <c r="E116" s="4" t="n"/>
      <c r="F116" s="4" t="n"/>
      <c r="G116" s="4" t="n"/>
    </row>
    <row r="117">
      <c r="A117" s="8" t="n"/>
      <c r="B117" s="8" t="n"/>
      <c r="C117" s="8" t="n"/>
      <c r="D117" s="8" t="n"/>
      <c r="E117" s="8" t="n"/>
      <c r="F117" s="8" t="n"/>
      <c r="G117" s="8" t="n"/>
    </row>
    <row r="118">
      <c r="A118" s="4" t="n"/>
      <c r="B118" s="4" t="n"/>
      <c r="C118" s="4" t="n"/>
      <c r="D118" s="4" t="n"/>
      <c r="E118" s="4" t="n"/>
      <c r="F118" s="4" t="n"/>
      <c r="G118" s="4" t="n"/>
    </row>
    <row r="119">
      <c r="A119" s="8" t="n"/>
      <c r="B119" s="8" t="n"/>
      <c r="C119" s="8" t="n"/>
      <c r="D119" s="8" t="n"/>
      <c r="E119" s="8" t="n"/>
      <c r="F119" s="8" t="n"/>
      <c r="G119" s="8" t="n"/>
    </row>
    <row r="120">
      <c r="A120" s="4" t="n"/>
      <c r="B120" s="4" t="n"/>
      <c r="C120" s="4" t="n"/>
      <c r="D120" s="4" t="n"/>
      <c r="E120" s="4" t="n"/>
      <c r="F120" s="4" t="n"/>
      <c r="G120" s="4" t="n"/>
    </row>
    <row r="121">
      <c r="A121" s="8" t="n"/>
      <c r="B121" s="8" t="n"/>
      <c r="C121" s="8" t="n"/>
      <c r="D121" s="8" t="n"/>
      <c r="E121" s="8" t="n"/>
      <c r="F121" s="8" t="n"/>
      <c r="G121" s="8" t="n"/>
    </row>
    <row r="122">
      <c r="A122" s="4" t="n"/>
      <c r="B122" s="4" t="n"/>
      <c r="C122" s="4" t="n"/>
      <c r="D122" s="4" t="n"/>
      <c r="E122" s="4" t="n"/>
      <c r="F122" s="4" t="n"/>
      <c r="G122" s="4" t="n"/>
    </row>
    <row r="123">
      <c r="A123" s="8" t="n"/>
      <c r="B123" s="8" t="n"/>
      <c r="C123" s="8" t="n"/>
      <c r="D123" s="8" t="n"/>
      <c r="E123" s="8" t="n"/>
      <c r="F123" s="8" t="n"/>
      <c r="G123" s="8" t="n"/>
    </row>
    <row r="124">
      <c r="A124" s="4" t="n"/>
      <c r="B124" s="4" t="n"/>
      <c r="C124" s="4" t="n"/>
      <c r="D124" s="4" t="n"/>
      <c r="E124" s="4" t="n"/>
      <c r="F124" s="4" t="n"/>
      <c r="G124" s="4" t="n"/>
    </row>
    <row r="125">
      <c r="A125" s="8" t="n"/>
      <c r="B125" s="8" t="n"/>
      <c r="C125" s="8" t="n"/>
      <c r="D125" s="8" t="n"/>
      <c r="E125" s="8" t="n"/>
      <c r="F125" s="8" t="n"/>
      <c r="G125" s="8" t="n"/>
    </row>
    <row r="126">
      <c r="A126" s="4" t="n"/>
      <c r="B126" s="4" t="n"/>
      <c r="C126" s="4" t="n"/>
      <c r="D126" s="4" t="n"/>
      <c r="E126" s="4" t="n"/>
      <c r="F126" s="4" t="n"/>
      <c r="G126" s="4" t="n"/>
    </row>
    <row r="127">
      <c r="A127" s="8" t="n"/>
      <c r="B127" s="8" t="n"/>
      <c r="C127" s="8" t="n"/>
      <c r="D127" s="8" t="n"/>
      <c r="E127" s="8" t="n"/>
      <c r="F127" s="8" t="n"/>
      <c r="G127" s="8" t="n"/>
    </row>
    <row r="128">
      <c r="A128" s="4" t="n"/>
      <c r="B128" s="4" t="n"/>
      <c r="C128" s="4" t="n"/>
      <c r="D128" s="4" t="n"/>
      <c r="E128" s="4" t="n"/>
      <c r="F128" s="4" t="n"/>
      <c r="G128" s="4" t="n"/>
    </row>
    <row r="129">
      <c r="A129" s="8" t="n"/>
      <c r="B129" s="8" t="n"/>
      <c r="C129" s="8" t="n"/>
      <c r="D129" s="8" t="n"/>
      <c r="E129" s="8" t="n"/>
      <c r="F129" s="8" t="n"/>
      <c r="G129" s="8" t="n"/>
    </row>
    <row r="130">
      <c r="A130" s="4" t="n"/>
      <c r="B130" s="4" t="n"/>
      <c r="C130" s="4" t="n"/>
      <c r="D130" s="4" t="n"/>
      <c r="E130" s="4" t="n"/>
      <c r="F130" s="4" t="n"/>
      <c r="G130" s="4" t="n"/>
    </row>
    <row r="131">
      <c r="A131" s="8" t="n"/>
      <c r="B131" s="8" t="n"/>
      <c r="C131" s="8" t="n"/>
      <c r="D131" s="8" t="n"/>
      <c r="E131" s="8" t="n"/>
      <c r="F131" s="8" t="n"/>
      <c r="G131" s="8" t="n"/>
    </row>
    <row r="132">
      <c r="A132" s="4" t="n"/>
      <c r="B132" s="4" t="n"/>
      <c r="C132" s="4" t="n"/>
      <c r="D132" s="4" t="n"/>
      <c r="E132" s="4" t="n"/>
      <c r="F132" s="4" t="n"/>
      <c r="G132" s="4" t="n"/>
    </row>
    <row r="133">
      <c r="A133" s="8" t="n"/>
      <c r="B133" s="8" t="n"/>
      <c r="C133" s="8" t="n"/>
      <c r="D133" s="8" t="n"/>
      <c r="E133" s="8" t="n"/>
      <c r="F133" s="8" t="n"/>
      <c r="G133" s="8" t="n"/>
    </row>
    <row r="134">
      <c r="A134" s="4" t="n"/>
      <c r="B134" s="4" t="n"/>
      <c r="C134" s="4" t="n"/>
      <c r="D134" s="4" t="n"/>
      <c r="E134" s="4" t="n"/>
      <c r="F134" s="4" t="n"/>
      <c r="G134" s="4" t="n"/>
    </row>
    <row r="135">
      <c r="A135" s="8" t="n"/>
      <c r="B135" s="8" t="n"/>
      <c r="C135" s="8" t="n"/>
      <c r="D135" s="8" t="n"/>
      <c r="E135" s="8" t="n"/>
      <c r="F135" s="8" t="n"/>
      <c r="G135" s="8" t="n"/>
    </row>
    <row r="136">
      <c r="A136" s="4" t="n"/>
      <c r="B136" s="4" t="n"/>
      <c r="C136" s="4" t="n"/>
      <c r="D136" s="4" t="n"/>
      <c r="E136" s="4" t="n"/>
      <c r="F136" s="4" t="n"/>
      <c r="G136" s="4" t="n"/>
    </row>
    <row r="137">
      <c r="A137" s="8" t="n"/>
      <c r="B137" s="8" t="n"/>
      <c r="C137" s="8" t="n"/>
      <c r="D137" s="8" t="n"/>
      <c r="E137" s="8" t="n"/>
      <c r="F137" s="8" t="n"/>
      <c r="G137" s="8" t="n"/>
    </row>
    <row r="138">
      <c r="A138" s="4" t="n"/>
      <c r="B138" s="4" t="n"/>
      <c r="C138" s="4" t="n"/>
      <c r="D138" s="4" t="n"/>
      <c r="E138" s="4" t="n"/>
      <c r="F138" s="4" t="n"/>
      <c r="G138" s="4" t="n"/>
    </row>
    <row r="139">
      <c r="A139" s="8" t="n"/>
      <c r="B139" s="8" t="n"/>
      <c r="C139" s="8" t="n"/>
      <c r="D139" s="8" t="n"/>
      <c r="E139" s="8" t="n"/>
      <c r="F139" s="8" t="n"/>
      <c r="G139" s="8" t="n"/>
    </row>
    <row r="140">
      <c r="A140" s="4" t="n"/>
      <c r="B140" s="4" t="n"/>
      <c r="C140" s="4" t="n"/>
      <c r="D140" s="4" t="n"/>
      <c r="E140" s="4" t="n"/>
      <c r="F140" s="4" t="n"/>
      <c r="G140" s="4" t="n"/>
    </row>
    <row r="141">
      <c r="A141" s="8" t="n"/>
      <c r="B141" s="8" t="n"/>
      <c r="C141" s="8" t="n"/>
      <c r="D141" s="8" t="n"/>
      <c r="E141" s="8" t="n"/>
      <c r="F141" s="8" t="n"/>
      <c r="G141" s="8" t="n"/>
    </row>
    <row r="142">
      <c r="A142" s="4" t="n"/>
      <c r="B142" s="4" t="n"/>
      <c r="C142" s="4" t="n"/>
      <c r="D142" s="4" t="n"/>
      <c r="E142" s="4" t="n"/>
      <c r="F142" s="4" t="n"/>
      <c r="G142" s="4" t="n"/>
    </row>
    <row r="143">
      <c r="A143" s="8" t="n"/>
      <c r="B143" s="8" t="n"/>
      <c r="C143" s="8" t="n"/>
      <c r="D143" s="8" t="n"/>
      <c r="E143" s="8" t="n"/>
      <c r="F143" s="8" t="n"/>
      <c r="G143" s="8" t="n"/>
    </row>
    <row r="144">
      <c r="A144" s="4" t="n"/>
      <c r="B144" s="4" t="n"/>
      <c r="C144" s="4" t="n"/>
      <c r="D144" s="4" t="n"/>
      <c r="E144" s="4" t="n"/>
      <c r="F144" s="4" t="n"/>
      <c r="G144" s="4" t="n"/>
    </row>
    <row r="145">
      <c r="A145" s="8" t="n"/>
      <c r="B145" s="8" t="n"/>
      <c r="C145" s="8" t="n"/>
      <c r="D145" s="8" t="n"/>
      <c r="E145" s="8" t="n"/>
      <c r="F145" s="8" t="n"/>
      <c r="G145" s="8" t="n"/>
    </row>
    <row r="146">
      <c r="A146" s="4" t="n"/>
      <c r="B146" s="4" t="n"/>
      <c r="C146" s="4" t="n"/>
      <c r="D146" s="4" t="n"/>
      <c r="E146" s="4" t="n"/>
      <c r="F146" s="4" t="n"/>
      <c r="G146" s="4" t="n"/>
    </row>
    <row r="147">
      <c r="A147" s="8" t="n"/>
      <c r="B147" s="8" t="n"/>
      <c r="C147" s="8" t="n"/>
      <c r="D147" s="8" t="n"/>
      <c r="E147" s="8" t="n"/>
      <c r="F147" s="8" t="n"/>
      <c r="G147" s="8" t="n"/>
    </row>
    <row r="148">
      <c r="A148" s="4" t="n"/>
      <c r="B148" s="4" t="n"/>
      <c r="C148" s="4" t="n"/>
      <c r="D148" s="4" t="n"/>
      <c r="E148" s="4" t="n"/>
      <c r="F148" s="4" t="n"/>
      <c r="G148" s="4" t="n"/>
    </row>
    <row r="149">
      <c r="A149" s="8" t="n"/>
      <c r="B149" s="8" t="n"/>
      <c r="C149" s="8" t="n"/>
      <c r="D149" s="8" t="n"/>
      <c r="E149" s="8" t="n"/>
      <c r="F149" s="8" t="n"/>
      <c r="G149" s="8" t="n"/>
    </row>
    <row r="150">
      <c r="A150" s="4" t="n"/>
      <c r="B150" s="4" t="n"/>
      <c r="C150" s="4" t="n"/>
      <c r="D150" s="4" t="n"/>
      <c r="E150" s="4" t="n"/>
      <c r="F150" s="4" t="n"/>
      <c r="G150" s="4" t="n"/>
    </row>
    <row r="151">
      <c r="A151" s="8" t="n"/>
      <c r="B151" s="8" t="n"/>
      <c r="C151" s="8" t="n"/>
      <c r="D151" s="8" t="n"/>
      <c r="E151" s="8" t="n"/>
      <c r="F151" s="8" t="n"/>
      <c r="G151" s="8" t="n"/>
    </row>
    <row r="152">
      <c r="A152" s="4" t="n"/>
      <c r="B152" s="4" t="n"/>
      <c r="C152" s="4" t="n"/>
      <c r="D152" s="4" t="n"/>
      <c r="E152" s="4" t="n"/>
      <c r="F152" s="4" t="n"/>
      <c r="G152" s="4" t="n"/>
    </row>
    <row r="153">
      <c r="A153" s="8" t="n"/>
      <c r="B153" s="8" t="n"/>
      <c r="C153" s="8" t="n"/>
      <c r="D153" s="8" t="n"/>
      <c r="E153" s="8" t="n"/>
      <c r="F153" s="8" t="n"/>
      <c r="G153" s="8" t="n"/>
    </row>
    <row r="154">
      <c r="A154" s="4" t="n"/>
      <c r="B154" s="4" t="n"/>
      <c r="C154" s="4" t="n"/>
      <c r="D154" s="4" t="n"/>
      <c r="E154" s="4" t="n"/>
      <c r="F154" s="4" t="n"/>
      <c r="G154" s="4" t="n"/>
    </row>
    <row r="155">
      <c r="A155" s="8" t="n"/>
      <c r="B155" s="8" t="n"/>
      <c r="C155" s="8" t="n"/>
      <c r="D155" s="8" t="n"/>
      <c r="E155" s="8" t="n"/>
      <c r="F155" s="8" t="n"/>
      <c r="G155" s="8" t="n"/>
    </row>
    <row r="156">
      <c r="A156" s="4" t="n"/>
      <c r="B156" s="4" t="n"/>
      <c r="C156" s="4" t="n"/>
      <c r="D156" s="4" t="n"/>
      <c r="E156" s="4" t="n"/>
      <c r="F156" s="4" t="n"/>
      <c r="G156" s="4" t="n"/>
    </row>
    <row r="157">
      <c r="A157" s="8" t="n"/>
      <c r="B157" s="8" t="n"/>
      <c r="C157" s="8" t="n"/>
      <c r="D157" s="8" t="n"/>
      <c r="E157" s="8" t="n"/>
      <c r="F157" s="8" t="n"/>
      <c r="G157" s="8" t="n"/>
    </row>
    <row r="158">
      <c r="A158" s="4" t="n"/>
      <c r="B158" s="4" t="n"/>
      <c r="C158" s="4" t="n"/>
      <c r="D158" s="4" t="n"/>
      <c r="E158" s="4" t="n"/>
      <c r="F158" s="4" t="n"/>
      <c r="G158" s="4" t="n"/>
    </row>
    <row r="159">
      <c r="A159" s="8" t="n"/>
      <c r="B159" s="8" t="n"/>
      <c r="C159" s="8" t="n"/>
      <c r="D159" s="8" t="n"/>
      <c r="E159" s="8" t="n"/>
      <c r="F159" s="8" t="n"/>
      <c r="G159" s="8" t="n"/>
    </row>
    <row r="160">
      <c r="A160" s="4" t="n"/>
      <c r="B160" s="4" t="n"/>
      <c r="C160" s="4" t="n"/>
      <c r="D160" s="4" t="n"/>
      <c r="E160" s="4" t="n"/>
      <c r="F160" s="4" t="n"/>
      <c r="G160" s="4" t="n"/>
    </row>
    <row r="161">
      <c r="A161" s="8" t="n"/>
      <c r="B161" s="8" t="n"/>
      <c r="C161" s="8" t="n"/>
      <c r="D161" s="8" t="n"/>
      <c r="E161" s="8" t="n"/>
      <c r="F161" s="8" t="n"/>
      <c r="G161" s="8" t="n"/>
    </row>
    <row r="162">
      <c r="A162" s="4" t="n"/>
      <c r="B162" s="4" t="n"/>
      <c r="C162" s="4" t="n"/>
      <c r="D162" s="4" t="n"/>
      <c r="E162" s="4" t="n"/>
      <c r="F162" s="4" t="n"/>
      <c r="G162" s="4" t="n"/>
    </row>
    <row r="163">
      <c r="A163" s="8" t="n"/>
      <c r="B163" s="8" t="n"/>
      <c r="C163" s="8" t="n"/>
      <c r="D163" s="8" t="n"/>
      <c r="E163" s="8" t="n"/>
      <c r="F163" s="8" t="n"/>
      <c r="G163" s="8" t="n"/>
    </row>
    <row r="164">
      <c r="A164" s="4" t="n"/>
      <c r="B164" s="4" t="n"/>
      <c r="C164" s="4" t="n"/>
      <c r="D164" s="4" t="n"/>
      <c r="E164" s="4" t="n"/>
      <c r="F164" s="4" t="n"/>
      <c r="G164" s="4" t="n"/>
    </row>
    <row r="165">
      <c r="A165" s="8" t="n"/>
      <c r="B165" s="8" t="n"/>
      <c r="C165" s="8" t="n"/>
      <c r="D165" s="8" t="n"/>
      <c r="E165" s="8" t="n"/>
      <c r="F165" s="8" t="n"/>
      <c r="G165" s="8" t="n"/>
    </row>
    <row r="166">
      <c r="A166" s="4" t="n"/>
      <c r="B166" s="4" t="n"/>
      <c r="C166" s="4" t="n"/>
      <c r="D166" s="4" t="n"/>
      <c r="E166" s="4" t="n"/>
      <c r="F166" s="4" t="n"/>
      <c r="G166" s="4" t="n"/>
    </row>
    <row r="167">
      <c r="A167" s="8" t="n"/>
      <c r="B167" s="8" t="n"/>
      <c r="C167" s="8" t="n"/>
      <c r="D167" s="8" t="n"/>
      <c r="E167" s="8" t="n"/>
      <c r="F167" s="8" t="n"/>
      <c r="G167" s="8" t="n"/>
    </row>
    <row r="168">
      <c r="A168" s="4" t="n"/>
      <c r="B168" s="4" t="n"/>
      <c r="C168" s="4" t="n"/>
      <c r="D168" s="4" t="n"/>
      <c r="E168" s="4" t="n"/>
      <c r="F168" s="4" t="n"/>
      <c r="G168" s="4" t="n"/>
    </row>
    <row r="169">
      <c r="A169" s="8" t="n"/>
      <c r="B169" s="8" t="n"/>
      <c r="C169" s="8" t="n"/>
      <c r="D169" s="8" t="n"/>
      <c r="E169" s="8" t="n"/>
      <c r="F169" s="8" t="n"/>
      <c r="G169" s="8" t="n"/>
    </row>
    <row r="170">
      <c r="A170" s="4" t="n"/>
      <c r="B170" s="4" t="n"/>
      <c r="C170" s="4" t="n"/>
      <c r="D170" s="4" t="n"/>
      <c r="E170" s="4" t="n"/>
      <c r="F170" s="4" t="n"/>
      <c r="G170" s="4" t="n"/>
    </row>
    <row r="171">
      <c r="A171" s="8" t="n"/>
      <c r="B171" s="8" t="n"/>
      <c r="C171" s="8" t="n"/>
      <c r="D171" s="8" t="n"/>
      <c r="E171" s="8" t="n"/>
      <c r="F171" s="8" t="n"/>
      <c r="G171" s="8" t="n"/>
    </row>
    <row r="172">
      <c r="A172" s="4" t="n"/>
      <c r="B172" s="4" t="n"/>
      <c r="C172" s="4" t="n"/>
      <c r="D172" s="4" t="n"/>
      <c r="E172" s="4" t="n"/>
      <c r="F172" s="4" t="n"/>
      <c r="G172" s="4" t="n"/>
    </row>
    <row r="173">
      <c r="A173" s="8" t="n"/>
      <c r="B173" s="8" t="n"/>
      <c r="C173" s="8" t="n"/>
      <c r="D173" s="8" t="n"/>
      <c r="E173" s="8" t="n"/>
      <c r="F173" s="8" t="n"/>
      <c r="G173" s="8" t="n"/>
    </row>
    <row r="174">
      <c r="A174" s="4" t="n"/>
      <c r="B174" s="4" t="n"/>
      <c r="C174" s="4" t="n"/>
      <c r="D174" s="4" t="n"/>
      <c r="E174" s="4" t="n"/>
      <c r="F174" s="4" t="n"/>
      <c r="G174" s="4" t="n"/>
    </row>
    <row r="175">
      <c r="A175" s="8" t="n"/>
      <c r="B175" s="8" t="n"/>
      <c r="C175" s="8" t="n"/>
      <c r="D175" s="8" t="n"/>
      <c r="E175" s="8" t="n"/>
      <c r="F175" s="8" t="n"/>
      <c r="G175" s="8" t="n"/>
    </row>
    <row r="176">
      <c r="A176" s="4" t="n"/>
      <c r="B176" s="4" t="n"/>
      <c r="C176" s="4" t="n"/>
      <c r="D176" s="4" t="n"/>
      <c r="E176" s="4" t="n"/>
      <c r="F176" s="4" t="n"/>
      <c r="G176" s="4" t="n"/>
    </row>
    <row r="177">
      <c r="A177" s="8" t="n"/>
      <c r="B177" s="8" t="n"/>
      <c r="C177" s="8" t="n"/>
      <c r="D177" s="8" t="n"/>
      <c r="E177" s="8" t="n"/>
      <c r="F177" s="8" t="n"/>
      <c r="G177" s="8" t="n"/>
    </row>
    <row r="178">
      <c r="A178" s="4" t="n"/>
      <c r="B178" s="4" t="n"/>
      <c r="C178" s="4" t="n"/>
      <c r="D178" s="4" t="n"/>
      <c r="E178" s="4" t="n"/>
      <c r="F178" s="4" t="n"/>
      <c r="G178" s="4" t="n"/>
    </row>
    <row r="179">
      <c r="A179" s="8" t="n"/>
      <c r="B179" s="8" t="n"/>
      <c r="C179" s="8" t="n"/>
      <c r="D179" s="8" t="n"/>
      <c r="E179" s="8" t="n"/>
      <c r="F179" s="8" t="n"/>
      <c r="G179" s="8" t="n"/>
    </row>
    <row r="180">
      <c r="A180" s="4" t="n"/>
      <c r="B180" s="4" t="n"/>
      <c r="C180" s="4" t="n"/>
      <c r="D180" s="4" t="n"/>
      <c r="E180" s="4" t="n"/>
      <c r="F180" s="4" t="n"/>
      <c r="G180" s="4" t="n"/>
    </row>
    <row r="181">
      <c r="A181" s="8" t="n"/>
      <c r="B181" s="8" t="n"/>
      <c r="C181" s="8" t="n"/>
      <c r="D181" s="8" t="n"/>
      <c r="E181" s="8" t="n"/>
      <c r="F181" s="8" t="n"/>
      <c r="G181" s="8" t="n"/>
    </row>
    <row r="182">
      <c r="A182" s="4" t="n"/>
      <c r="B182" s="4" t="n"/>
      <c r="C182" s="4" t="n"/>
      <c r="D182" s="4" t="n"/>
      <c r="E182" s="4" t="n"/>
      <c r="F182" s="4" t="n"/>
      <c r="G182" s="4" t="n"/>
    </row>
    <row r="183">
      <c r="A183" s="8" t="n"/>
      <c r="B183" s="8" t="n"/>
      <c r="C183" s="8" t="n"/>
      <c r="D183" s="8" t="n"/>
      <c r="E183" s="8" t="n"/>
      <c r="F183" s="8" t="n"/>
      <c r="G183" s="8" t="n"/>
    </row>
    <row r="184">
      <c r="A184" s="4" t="n"/>
      <c r="B184" s="4" t="n"/>
      <c r="C184" s="4" t="n"/>
      <c r="D184" s="4" t="n"/>
      <c r="E184" s="4" t="n"/>
      <c r="F184" s="4" t="n"/>
      <c r="G184" s="4" t="n"/>
    </row>
    <row r="185">
      <c r="A185" s="8" t="n"/>
      <c r="B185" s="8" t="n"/>
      <c r="C185" s="8" t="n"/>
      <c r="D185" s="8" t="n"/>
      <c r="E185" s="8" t="n"/>
      <c r="F185" s="8" t="n"/>
      <c r="G185" s="8" t="n"/>
    </row>
    <row r="186">
      <c r="A186" s="4" t="n"/>
      <c r="B186" s="4" t="n"/>
      <c r="C186" s="4" t="n"/>
      <c r="D186" s="4" t="n"/>
      <c r="E186" s="4" t="n"/>
      <c r="F186" s="4" t="n"/>
      <c r="G186" s="4" t="n"/>
    </row>
    <row r="187">
      <c r="A187" s="8" t="n"/>
      <c r="B187" s="8" t="n"/>
      <c r="C187" s="8" t="n"/>
      <c r="D187" s="8" t="n"/>
      <c r="E187" s="8" t="n"/>
      <c r="F187" s="8" t="n"/>
      <c r="G187" s="8" t="n"/>
    </row>
    <row r="188">
      <c r="A188" s="4" t="n"/>
      <c r="B188" s="4" t="n"/>
      <c r="C188" s="4" t="n"/>
      <c r="D188" s="4" t="n"/>
      <c r="E188" s="4" t="n"/>
      <c r="F188" s="4" t="n"/>
      <c r="G188" s="4" t="n"/>
    </row>
    <row r="189">
      <c r="A189" s="8" t="n"/>
      <c r="B189" s="8" t="n"/>
      <c r="C189" s="8" t="n"/>
      <c r="D189" s="8" t="n"/>
      <c r="E189" s="8" t="n"/>
      <c r="F189" s="8" t="n"/>
      <c r="G189" s="8" t="n"/>
    </row>
    <row r="190">
      <c r="A190" s="4" t="n"/>
      <c r="B190" s="4" t="n"/>
      <c r="C190" s="4" t="n"/>
      <c r="D190" s="4" t="n"/>
      <c r="E190" s="4" t="n"/>
      <c r="F190" s="4" t="n"/>
      <c r="G190" s="4" t="n"/>
    </row>
    <row r="191">
      <c r="A191" s="8" t="n"/>
      <c r="B191" s="8" t="n"/>
      <c r="C191" s="8" t="n"/>
      <c r="D191" s="8" t="n"/>
      <c r="E191" s="8" t="n"/>
      <c r="F191" s="8" t="n"/>
      <c r="G191" s="8" t="n"/>
    </row>
    <row r="192">
      <c r="A192" s="4" t="n"/>
      <c r="B192" s="4" t="n"/>
      <c r="C192" s="4" t="n"/>
      <c r="D192" s="4" t="n"/>
      <c r="E192" s="4" t="n"/>
      <c r="F192" s="4" t="n"/>
      <c r="G192" s="4" t="n"/>
    </row>
    <row r="193">
      <c r="A193" s="8" t="n"/>
      <c r="B193" s="8" t="n"/>
      <c r="C193" s="8" t="n"/>
      <c r="D193" s="8" t="n"/>
      <c r="E193" s="8" t="n"/>
      <c r="F193" s="8" t="n"/>
      <c r="G193" s="8" t="n"/>
    </row>
    <row r="194">
      <c r="A194" s="4" t="n"/>
      <c r="B194" s="4" t="n"/>
      <c r="C194" s="4" t="n"/>
      <c r="D194" s="4" t="n"/>
      <c r="E194" s="4" t="n"/>
      <c r="F194" s="4" t="n"/>
      <c r="G194" s="4" t="n"/>
    </row>
    <row r="195">
      <c r="A195" s="8" t="n"/>
      <c r="B195" s="8" t="n"/>
      <c r="C195" s="8" t="n"/>
      <c r="D195" s="8" t="n"/>
      <c r="E195" s="8" t="n"/>
      <c r="F195" s="8" t="n"/>
      <c r="G195" s="8" t="n"/>
    </row>
    <row r="196">
      <c r="A196" s="4" t="n"/>
      <c r="B196" s="4" t="n"/>
      <c r="C196" s="4" t="n"/>
      <c r="D196" s="4" t="n"/>
      <c r="E196" s="4" t="n"/>
      <c r="F196" s="4" t="n"/>
      <c r="G196" s="4" t="n"/>
    </row>
    <row r="197">
      <c r="A197" s="8" t="n"/>
      <c r="B197" s="8" t="n"/>
      <c r="C197" s="8" t="n"/>
      <c r="D197" s="8" t="n"/>
      <c r="E197" s="8" t="n"/>
      <c r="F197" s="8" t="n"/>
      <c r="G197" s="8" t="n"/>
    </row>
    <row r="198">
      <c r="A198" s="4" t="n"/>
      <c r="B198" s="4" t="n"/>
      <c r="C198" s="4" t="n"/>
      <c r="D198" s="4" t="n"/>
      <c r="E198" s="4" t="n"/>
      <c r="F198" s="4" t="n"/>
      <c r="G198" s="4" t="n"/>
    </row>
    <row r="199">
      <c r="A199" s="8" t="n"/>
      <c r="B199" s="8" t="n"/>
      <c r="C199" s="8" t="n"/>
      <c r="D199" s="8" t="n"/>
      <c r="E199" s="8" t="n"/>
      <c r="F199" s="8" t="n"/>
      <c r="G199" s="8" t="n"/>
    </row>
    <row r="200">
      <c r="A200" s="4" t="n"/>
      <c r="B200" s="4" t="n"/>
      <c r="C200" s="4" t="n"/>
      <c r="D200" s="4" t="n"/>
      <c r="E200" s="4" t="n"/>
      <c r="F200" s="4" t="n"/>
      <c r="G200" s="4" t="n"/>
    </row>
    <row r="201">
      <c r="A201" s="8" t="n"/>
      <c r="B201" s="8" t="n"/>
      <c r="C201" s="8" t="n"/>
      <c r="D201" s="8" t="n"/>
      <c r="E201" s="8" t="n"/>
      <c r="F201" s="8" t="n"/>
      <c r="G201" s="8" t="n"/>
    </row>
    <row r="202">
      <c r="A202" s="4" t="n"/>
      <c r="B202" s="4" t="n"/>
      <c r="C202" s="4" t="n"/>
      <c r="D202" s="4" t="n"/>
      <c r="E202" s="4" t="n"/>
      <c r="F202" s="4" t="n"/>
      <c r="G202" s="4" t="n"/>
    </row>
    <row r="203">
      <c r="A203" s="8" t="n"/>
      <c r="B203" s="8" t="n"/>
      <c r="C203" s="8" t="n"/>
      <c r="D203" s="8" t="n"/>
      <c r="E203" s="8" t="n"/>
      <c r="F203" s="8" t="n"/>
      <c r="G203" s="8" t="n"/>
    </row>
  </sheetData>
  <dataValidations count="3">
    <dataValidation sqref="D4:D203" showDropDown="0" showInputMessage="0" showErrorMessage="0" allowBlank="1" type="list">
      <formula1>Lists!$A$1:$A$21</formula1>
    </dataValidation>
    <dataValidation sqref="E4:E203" showDropDown="0" showInputMessage="0" showErrorMessage="0" allowBlank="1" type="list">
      <formula1>Lists!$B$1:$B$7</formula1>
    </dataValidation>
    <dataValidation sqref="G4:G203" showDropDown="0" showInputMessage="0" showErrorMessage="0" allowBlank="1" type="list">
      <formula1>Lists!$C$1:$C$2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2" customWidth="1" min="3" max="3"/>
    <col width="12" customWidth="1" min="4" max="4"/>
    <col width="16" customWidth="1" min="5" max="5"/>
    <col width="15" customWidth="1" min="6" max="6"/>
  </cols>
  <sheetData>
    <row r="1">
      <c r="A1" s="1" t="inlineStr">
        <is>
          <t>Topic mastery: accuracy is calculated from the Daily Log</t>
        </is>
      </c>
    </row>
    <row r="3" ht="30" customHeight="1">
      <c r="A3" s="2" t="inlineStr">
        <is>
          <t>Topic</t>
        </is>
      </c>
      <c r="B3" s="2" t="inlineStr">
        <is>
          <t>Questions logged</t>
        </is>
      </c>
      <c r="C3" s="2" t="inlineStr">
        <is>
          <t>Correct</t>
        </is>
      </c>
      <c r="D3" s="2" t="inlineStr">
        <is>
          <t>Accuracy</t>
        </is>
      </c>
      <c r="E3" s="2" t="inlineStr">
        <is>
          <t>Status</t>
        </is>
      </c>
      <c r="F3" s="2" t="inlineStr">
        <is>
          <t>Date mastered</t>
        </is>
      </c>
    </row>
    <row r="4">
      <c r="A4" s="4" t="inlineStr">
        <is>
          <t>Complements and add/sub</t>
        </is>
      </c>
      <c r="B4" s="4">
        <f>SUMIF('Daily Log'!B:B,A4,'Daily Log'!C:C)</f>
        <v/>
      </c>
      <c r="C4" s="4">
        <f>SUMIF('Daily Log'!B:B,A4,'Daily Log'!D:D)</f>
        <v/>
      </c>
      <c r="D4" s="5">
        <f>IF(B4&gt;0,C4/B4,"")</f>
        <v/>
      </c>
      <c r="E4" s="4">
        <f>IF(B4&lt;20,"Need more data",IF(D4&gt;=0.9,"Mastered",IF(D4&gt;=0.75,"Getting there","Revise")))</f>
        <v/>
      </c>
      <c r="F4" s="4" t="n"/>
    </row>
    <row r="5">
      <c r="A5" s="8" t="inlineStr">
        <is>
          <t>×11; ×5; ×25; ×9s</t>
        </is>
      </c>
      <c r="B5" s="8">
        <f>SUMIF('Daily Log'!B:B,A5,'Daily Log'!C:C)</f>
        <v/>
      </c>
      <c r="C5" s="8">
        <f>SUMIF('Daily Log'!B:B,A5,'Daily Log'!D:D)</f>
        <v/>
      </c>
      <c r="D5" s="9">
        <f>IF(B5&gt;0,C5/B5,"")</f>
        <v/>
      </c>
      <c r="E5" s="8">
        <f>IF(B5&lt;20,"Need more data",IF(D5&gt;=0.9,"Mastered",IF(D5&gt;=0.75,"Getting there","Revise")))</f>
        <v/>
      </c>
      <c r="F5" s="8" t="n"/>
    </row>
    <row r="6">
      <c r="A6" s="4" t="inlineStr">
        <is>
          <t>Nikhilam</t>
        </is>
      </c>
      <c r="B6" s="4">
        <f>SUMIF('Daily Log'!B:B,A6,'Daily Log'!C:C)</f>
        <v/>
      </c>
      <c r="C6" s="4">
        <f>SUMIF('Daily Log'!B:B,A6,'Daily Log'!D:D)</f>
        <v/>
      </c>
      <c r="D6" s="5">
        <f>IF(B6&gt;0,C6/B6,"")</f>
        <v/>
      </c>
      <c r="E6" s="4">
        <f>IF(B6&lt;20,"Need more data",IF(D6&gt;=0.9,"Mastered",IF(D6&gt;=0.75,"Getting there","Revise")))</f>
        <v/>
      </c>
      <c r="F6" s="4" t="n"/>
    </row>
    <row r="7">
      <c r="A7" s="8" t="inlineStr">
        <is>
          <t>Urdhva-Tiryagbhyam</t>
        </is>
      </c>
      <c r="B7" s="8">
        <f>SUMIF('Daily Log'!B:B,A7,'Daily Log'!C:C)</f>
        <v/>
      </c>
      <c r="C7" s="8">
        <f>SUMIF('Daily Log'!B:B,A7,'Daily Log'!D:D)</f>
        <v/>
      </c>
      <c r="D7" s="9">
        <f>IF(B7&gt;0,C7/B7,"")</f>
        <v/>
      </c>
      <c r="E7" s="8">
        <f>IF(B7&lt;20,"Need more data",IF(D7&gt;=0.9,"Mastered",IF(D7&gt;=0.75,"Getting there","Revise")))</f>
        <v/>
      </c>
      <c r="F7" s="8" t="n"/>
    </row>
    <row r="8">
      <c r="A8" s="4" t="inlineStr">
        <is>
          <t>Squares and square roots</t>
        </is>
      </c>
      <c r="B8" s="4">
        <f>SUMIF('Daily Log'!B:B,A8,'Daily Log'!C:C)</f>
        <v/>
      </c>
      <c r="C8" s="4">
        <f>SUMIF('Daily Log'!B:B,A8,'Daily Log'!D:D)</f>
        <v/>
      </c>
      <c r="D8" s="5">
        <f>IF(B8&gt;0,C8/B8,"")</f>
        <v/>
      </c>
      <c r="E8" s="4">
        <f>IF(B8&lt;20,"Need more data",IF(D8&gt;=0.9,"Mastered",IF(D8&gt;=0.75,"Getting there","Revise")))</f>
        <v/>
      </c>
      <c r="F8" s="4" t="n"/>
    </row>
    <row r="9">
      <c r="A9" s="8" t="inlineStr">
        <is>
          <t>Cubes and cube roots</t>
        </is>
      </c>
      <c r="B9" s="8">
        <f>SUMIF('Daily Log'!B:B,A9,'Daily Log'!C:C)</f>
        <v/>
      </c>
      <c r="C9" s="8">
        <f>SUMIF('Daily Log'!B:B,A9,'Daily Log'!D:D)</f>
        <v/>
      </c>
      <c r="D9" s="9">
        <f>IF(B9&gt;0,C9/B9,"")</f>
        <v/>
      </c>
      <c r="E9" s="8">
        <f>IF(B9&lt;20,"Need more data",IF(D9&gt;=0.9,"Mastered",IF(D9&gt;=0.75,"Getting there","Revise")))</f>
        <v/>
      </c>
      <c r="F9" s="8" t="n"/>
    </row>
    <row r="10">
      <c r="A10" s="4" t="inlineStr">
        <is>
          <t>Division methods</t>
        </is>
      </c>
      <c r="B10" s="4">
        <f>SUMIF('Daily Log'!B:B,A10,'Daily Log'!C:C)</f>
        <v/>
      </c>
      <c r="C10" s="4">
        <f>SUMIF('Daily Log'!B:B,A10,'Daily Log'!D:D)</f>
        <v/>
      </c>
      <c r="D10" s="5">
        <f>IF(B10&gt;0,C10/B10,"")</f>
        <v/>
      </c>
      <c r="E10" s="4">
        <f>IF(B10&lt;20,"Need more data",IF(D10&gt;=0.9,"Mastered",IF(D10&gt;=0.75,"Getting there","Revise")))</f>
        <v/>
      </c>
      <c r="F10" s="4" t="n"/>
    </row>
    <row r="11">
      <c r="A11" s="8" t="inlineStr">
        <is>
          <t>Fractions and percentages</t>
        </is>
      </c>
      <c r="B11" s="8">
        <f>SUMIF('Daily Log'!B:B,A11,'Daily Log'!C:C)</f>
        <v/>
      </c>
      <c r="C11" s="8">
        <f>SUMIF('Daily Log'!B:B,A11,'Daily Log'!D:D)</f>
        <v/>
      </c>
      <c r="D11" s="9">
        <f>IF(B11&gt;0,C11/B11,"")</f>
        <v/>
      </c>
      <c r="E11" s="8">
        <f>IF(B11&lt;20,"Need more data",IF(D11&gt;=0.9,"Mastered",IF(D11&gt;=0.75,"Getting there","Revise")))</f>
        <v/>
      </c>
      <c r="F11" s="8" t="n"/>
    </row>
    <row r="12">
      <c r="A12" s="4" t="inlineStr">
        <is>
          <t>Algebra identities and factorising</t>
        </is>
      </c>
      <c r="B12" s="4">
        <f>SUMIF('Daily Log'!B:B,A12,'Daily Log'!C:C)</f>
        <v/>
      </c>
      <c r="C12" s="4">
        <f>SUMIF('Daily Log'!B:B,A12,'Daily Log'!D:D)</f>
        <v/>
      </c>
      <c r="D12" s="5">
        <f>IF(B12&gt;0,C12/B12,"")</f>
        <v/>
      </c>
      <c r="E12" s="4">
        <f>IF(B12&lt;20,"Need more data",IF(D12&gt;=0.9,"Mastered",IF(D12&gt;=0.75,"Getting there","Revise")))</f>
        <v/>
      </c>
      <c r="F12" s="4" t="n"/>
    </row>
    <row r="13">
      <c r="A13" s="8" t="inlineStr">
        <is>
          <t>Simultaneous and quadratic equations</t>
        </is>
      </c>
      <c r="B13" s="8">
        <f>SUMIF('Daily Log'!B:B,A13,'Daily Log'!C:C)</f>
        <v/>
      </c>
      <c r="C13" s="8">
        <f>SUMIF('Daily Log'!B:B,A13,'Daily Log'!D:D)</f>
        <v/>
      </c>
      <c r="D13" s="9">
        <f>IF(B13&gt;0,C13/B13,"")</f>
        <v/>
      </c>
      <c r="E13" s="8">
        <f>IF(B13&lt;20,"Need more data",IF(D13&gt;=0.9,"Mastered",IF(D13&gt;=0.75,"Getting there","Revise")))</f>
        <v/>
      </c>
      <c r="F13" s="8" t="n"/>
    </row>
    <row r="14">
      <c r="A14" s="4" t="inlineStr">
        <is>
          <t>Ratio; averages; mixtures</t>
        </is>
      </c>
      <c r="B14" s="4">
        <f>SUMIF('Daily Log'!B:B,A14,'Daily Log'!C:C)</f>
        <v/>
      </c>
      <c r="C14" s="4">
        <f>SUMIF('Daily Log'!B:B,A14,'Daily Log'!D:D)</f>
        <v/>
      </c>
      <c r="D14" s="5">
        <f>IF(B14&gt;0,C14/B14,"")</f>
        <v/>
      </c>
      <c r="E14" s="4">
        <f>IF(B14&lt;20,"Need more data",IF(D14&gt;=0.9,"Mastered",IF(D14&gt;=0.75,"Getting there","Revise")))</f>
        <v/>
      </c>
      <c r="F14" s="4" t="n"/>
    </row>
    <row r="15">
      <c r="A15" s="8" t="inlineStr">
        <is>
          <t>Profit; loss; discount</t>
        </is>
      </c>
      <c r="B15" s="8">
        <f>SUMIF('Daily Log'!B:B,A15,'Daily Log'!C:C)</f>
        <v/>
      </c>
      <c r="C15" s="8">
        <f>SUMIF('Daily Log'!B:B,A15,'Daily Log'!D:D)</f>
        <v/>
      </c>
      <c r="D15" s="9">
        <f>IF(B15&gt;0,C15/B15,"")</f>
        <v/>
      </c>
      <c r="E15" s="8">
        <f>IF(B15&lt;20,"Need more data",IF(D15&gt;=0.9,"Mastered",IF(D15&gt;=0.75,"Getting there","Revise")))</f>
        <v/>
      </c>
      <c r="F15" s="8" t="n"/>
    </row>
    <row r="16">
      <c r="A16" s="4" t="inlineStr">
        <is>
          <t>Simple and compound interest</t>
        </is>
      </c>
      <c r="B16" s="4">
        <f>SUMIF('Daily Log'!B:B,A16,'Daily Log'!C:C)</f>
        <v/>
      </c>
      <c r="C16" s="4">
        <f>SUMIF('Daily Log'!B:B,A16,'Daily Log'!D:D)</f>
        <v/>
      </c>
      <c r="D16" s="5">
        <f>IF(B16&gt;0,C16/B16,"")</f>
        <v/>
      </c>
      <c r="E16" s="4">
        <f>IF(B16&lt;20,"Need more data",IF(D16&gt;=0.9,"Mastered",IF(D16&gt;=0.75,"Getting there","Revise")))</f>
        <v/>
      </c>
      <c r="F16" s="4" t="n"/>
    </row>
    <row r="17">
      <c r="A17" s="8" t="inlineStr">
        <is>
          <t>Time and work; pipes</t>
        </is>
      </c>
      <c r="B17" s="8">
        <f>SUMIF('Daily Log'!B:B,A17,'Daily Log'!C:C)</f>
        <v/>
      </c>
      <c r="C17" s="8">
        <f>SUMIF('Daily Log'!B:B,A17,'Daily Log'!D:D)</f>
        <v/>
      </c>
      <c r="D17" s="9">
        <f>IF(B17&gt;0,C17/B17,"")</f>
        <v/>
      </c>
      <c r="E17" s="8">
        <f>IF(B17&lt;20,"Need more data",IF(D17&gt;=0.9,"Mastered",IF(D17&gt;=0.75,"Getting there","Revise")))</f>
        <v/>
      </c>
      <c r="F17" s="8" t="n"/>
    </row>
    <row r="18">
      <c r="A18" s="4" t="inlineStr">
        <is>
          <t>Speed; trains; boats</t>
        </is>
      </c>
      <c r="B18" s="4">
        <f>SUMIF('Daily Log'!B:B,A18,'Daily Log'!C:C)</f>
        <v/>
      </c>
      <c r="C18" s="4">
        <f>SUMIF('Daily Log'!B:B,A18,'Daily Log'!D:D)</f>
        <v/>
      </c>
      <c r="D18" s="5">
        <f>IF(B18&gt;0,C18/B18,"")</f>
        <v/>
      </c>
      <c r="E18" s="4">
        <f>IF(B18&lt;20,"Need more data",IF(D18&gt;=0.9,"Mastered",IF(D18&gt;=0.75,"Getting there","Revise")))</f>
        <v/>
      </c>
      <c r="F18" s="4" t="n"/>
    </row>
    <row r="19">
      <c r="A19" s="8" t="inlineStr">
        <is>
          <t>Number system and remainders</t>
        </is>
      </c>
      <c r="B19" s="8">
        <f>SUMIF('Daily Log'!B:B,A19,'Daily Log'!C:C)</f>
        <v/>
      </c>
      <c r="C19" s="8">
        <f>SUMIF('Daily Log'!B:B,A19,'Daily Log'!D:D)</f>
        <v/>
      </c>
      <c r="D19" s="9">
        <f>IF(B19&gt;0,C19/B19,"")</f>
        <v/>
      </c>
      <c r="E19" s="8">
        <f>IF(B19&lt;20,"Need more data",IF(D19&gt;=0.9,"Mastered",IF(D19&gt;=0.75,"Getting there","Revise")))</f>
        <v/>
      </c>
      <c r="F19" s="8" t="n"/>
    </row>
    <row r="20">
      <c r="A20" s="4" t="inlineStr">
        <is>
          <t>Counting and probability</t>
        </is>
      </c>
      <c r="B20" s="4">
        <f>SUMIF('Daily Log'!B:B,A20,'Daily Log'!C:C)</f>
        <v/>
      </c>
      <c r="C20" s="4">
        <f>SUMIF('Daily Log'!B:B,A20,'Daily Log'!D:D)</f>
        <v/>
      </c>
      <c r="D20" s="5">
        <f>IF(B20&gt;0,C20/B20,"")</f>
        <v/>
      </c>
      <c r="E20" s="4">
        <f>IF(B20&lt;20,"Need more data",IF(D20&gt;=0.9,"Mastered",IF(D20&gt;=0.75,"Getting there","Revise")))</f>
        <v/>
      </c>
      <c r="F20" s="4" t="n"/>
    </row>
    <row r="21">
      <c r="A21" s="8" t="inlineStr">
        <is>
          <t>Mensuration</t>
        </is>
      </c>
      <c r="B21" s="8">
        <f>SUMIF('Daily Log'!B:B,A21,'Daily Log'!C:C)</f>
        <v/>
      </c>
      <c r="C21" s="8">
        <f>SUMIF('Daily Log'!B:B,A21,'Daily Log'!D:D)</f>
        <v/>
      </c>
      <c r="D21" s="9">
        <f>IF(B21&gt;0,C21/B21,"")</f>
        <v/>
      </c>
      <c r="E21" s="8">
        <f>IF(B21&lt;20,"Need more data",IF(D21&gt;=0.9,"Mastered",IF(D21&gt;=0.75,"Getting there","Revise")))</f>
        <v/>
      </c>
      <c r="F21" s="8" t="n"/>
    </row>
    <row r="22">
      <c r="A22" s="4" t="inlineStr">
        <is>
          <t>Calendar</t>
        </is>
      </c>
      <c r="B22" s="4">
        <f>SUMIF('Daily Log'!B:B,A22,'Daily Log'!C:C)</f>
        <v/>
      </c>
      <c r="C22" s="4">
        <f>SUMIF('Daily Log'!B:B,A22,'Daily Log'!D:D)</f>
        <v/>
      </c>
      <c r="D22" s="5">
        <f>IF(B22&gt;0,C22/B22,"")</f>
        <v/>
      </c>
      <c r="E22" s="4">
        <f>IF(B22&lt;20,"Need more data",IF(D22&gt;=0.9,"Mastered",IF(D22&gt;=0.75,"Getting there","Revise")))</f>
        <v/>
      </c>
      <c r="F22" s="4" t="n"/>
    </row>
    <row r="23">
      <c r="A23" s="8" t="inlineStr">
        <is>
          <t>Simplification and approximation</t>
        </is>
      </c>
      <c r="B23" s="8">
        <f>SUMIF('Daily Log'!B:B,A23,'Daily Log'!C:C)</f>
        <v/>
      </c>
      <c r="C23" s="8">
        <f>SUMIF('Daily Log'!B:B,A23,'Daily Log'!D:D)</f>
        <v/>
      </c>
      <c r="D23" s="9">
        <f>IF(B23&gt;0,C23/B23,"")</f>
        <v/>
      </c>
      <c r="E23" s="8">
        <f>IF(B23&lt;20,"Need more data",IF(D23&gt;=0.9,"Mastered",IF(D23&gt;=0.75,"Getting there","Revise")))</f>
        <v/>
      </c>
      <c r="F23" s="8" t="n"/>
    </row>
    <row r="24">
      <c r="A24" s="4" t="inlineStr">
        <is>
          <t>Data interpretation</t>
        </is>
      </c>
      <c r="B24" s="4">
        <f>SUMIF('Daily Log'!B:B,A24,'Daily Log'!C:C)</f>
        <v/>
      </c>
      <c r="C24" s="4">
        <f>SUMIF('Daily Log'!B:B,A24,'Daily Log'!D:D)</f>
        <v/>
      </c>
      <c r="D24" s="5">
        <f>IF(B24&gt;0,C24/B24,"")</f>
        <v/>
      </c>
      <c r="E24" s="4">
        <f>IF(B24&lt;20,"Need more data",IF(D24&gt;=0.9,"Mastered",IF(D24&gt;=0.75,"Getting there","Revise")))</f>
        <v/>
      </c>
      <c r="F24" s="4" t="n"/>
    </row>
  </sheetData>
  <conditionalFormatting sqref="D4:D24">
    <cfRule type="colorScale" priority="1">
      <colorScale>
        <cfvo type="num" val="0.5"/>
        <cfvo type="num" val="1"/>
        <color rgb="00FCA5A5"/>
        <color rgb="0086EFA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60" customWidth="1" min="3" max="3"/>
    <col width="9" customWidth="1" min="4" max="4"/>
    <col width="40" customWidth="1" min="5" max="5"/>
  </cols>
  <sheetData>
    <row r="1">
      <c r="A1" s="1" t="inlineStr">
        <is>
          <t>90-day plan for government exams (see Part XIV)</t>
        </is>
      </c>
    </row>
    <row r="3" ht="30" customHeight="1">
      <c r="A3" s="2" t="inlineStr">
        <is>
          <t>Day</t>
        </is>
      </c>
      <c r="B3" s="2" t="inlineStr">
        <is>
          <t>Phase</t>
        </is>
      </c>
      <c r="C3" s="2" t="inlineStr">
        <is>
          <t>Focus</t>
        </is>
      </c>
      <c r="D3" s="2" t="inlineStr">
        <is>
          <t>Done?</t>
        </is>
      </c>
      <c r="E3" s="2" t="inlineStr">
        <is>
          <t>Notes</t>
        </is>
      </c>
    </row>
    <row r="4">
      <c r="A4" s="4" t="n">
        <v>1</v>
      </c>
      <c r="B4" s="4" t="inlineStr">
        <is>
          <t>Foundation</t>
        </is>
      </c>
      <c r="C4" s="4" t="inlineStr">
        <is>
          <t>Parts I–III; tables to 20; squares to 30; cubes to 15</t>
        </is>
      </c>
      <c r="D4" s="4" t="n"/>
      <c r="E4" s="4" t="n"/>
    </row>
    <row r="5">
      <c r="A5" s="8" t="n">
        <v>2</v>
      </c>
      <c r="B5" s="8" t="inlineStr">
        <is>
          <t>Foundation</t>
        </is>
      </c>
      <c r="C5" s="8" t="inlineStr">
        <is>
          <t>Parts I–III; tables to 20; squares to 30; cubes to 15</t>
        </is>
      </c>
      <c r="D5" s="8" t="n"/>
      <c r="E5" s="8" t="n"/>
    </row>
    <row r="6">
      <c r="A6" s="4" t="n">
        <v>3</v>
      </c>
      <c r="B6" s="4" t="inlineStr">
        <is>
          <t>Foundation</t>
        </is>
      </c>
      <c r="C6" s="4" t="inlineStr">
        <is>
          <t>Parts I–III; tables to 20; squares to 30; cubes to 15</t>
        </is>
      </c>
      <c r="D6" s="4" t="n"/>
      <c r="E6" s="4" t="n"/>
    </row>
    <row r="7">
      <c r="A7" s="8" t="n">
        <v>4</v>
      </c>
      <c r="B7" s="8" t="inlineStr">
        <is>
          <t>Foundation</t>
        </is>
      </c>
      <c r="C7" s="8" t="inlineStr">
        <is>
          <t>Parts I–III; tables to 20; squares to 30; cubes to 15</t>
        </is>
      </c>
      <c r="D7" s="8" t="n"/>
      <c r="E7" s="8" t="n"/>
    </row>
    <row r="8">
      <c r="A8" s="4" t="n">
        <v>5</v>
      </c>
      <c r="B8" s="4" t="inlineStr">
        <is>
          <t>Foundation</t>
        </is>
      </c>
      <c r="C8" s="4" t="inlineStr">
        <is>
          <t>Parts I–III; tables to 20; squares to 30; cubes to 15</t>
        </is>
      </c>
      <c r="D8" s="4" t="n"/>
      <c r="E8" s="4" t="n"/>
    </row>
    <row r="9">
      <c r="A9" s="8" t="n">
        <v>6</v>
      </c>
      <c r="B9" s="8" t="inlineStr">
        <is>
          <t>Foundation</t>
        </is>
      </c>
      <c r="C9" s="8" t="inlineStr">
        <is>
          <t>Parts I–III; tables to 20; squares to 30; cubes to 15</t>
        </is>
      </c>
      <c r="D9" s="8" t="n"/>
      <c r="E9" s="8" t="n"/>
    </row>
    <row r="10">
      <c r="A10" s="4" t="n">
        <v>7</v>
      </c>
      <c r="B10" s="4" t="inlineStr">
        <is>
          <t>Foundation</t>
        </is>
      </c>
      <c r="C10" s="4" t="inlineStr">
        <is>
          <t>Parts I–III; tables to 20; squares to 30; cubes to 15 · weekly revision</t>
        </is>
      </c>
      <c r="D10" s="4" t="n"/>
      <c r="E10" s="4" t="n"/>
    </row>
    <row r="11">
      <c r="A11" s="8" t="n">
        <v>8</v>
      </c>
      <c r="B11" s="8" t="inlineStr">
        <is>
          <t>Foundation</t>
        </is>
      </c>
      <c r="C11" s="8" t="inlineStr">
        <is>
          <t>Parts I–III; tables to 20; squares to 30; cubes to 15</t>
        </is>
      </c>
      <c r="D11" s="8" t="n"/>
      <c r="E11" s="8" t="n"/>
    </row>
    <row r="12">
      <c r="A12" s="4" t="n">
        <v>9</v>
      </c>
      <c r="B12" s="4" t="inlineStr">
        <is>
          <t>Foundation</t>
        </is>
      </c>
      <c r="C12" s="4" t="inlineStr">
        <is>
          <t>Parts I–III; tables to 20; squares to 30; cubes to 15</t>
        </is>
      </c>
      <c r="D12" s="4" t="n"/>
      <c r="E12" s="4" t="n"/>
    </row>
    <row r="13">
      <c r="A13" s="8" t="n">
        <v>10</v>
      </c>
      <c r="B13" s="8" t="inlineStr">
        <is>
          <t>Foundation</t>
        </is>
      </c>
      <c r="C13" s="8" t="inlineStr">
        <is>
          <t>Parts I–III; tables to 20; squares to 30; cubes to 15</t>
        </is>
      </c>
      <c r="D13" s="8" t="n"/>
      <c r="E13" s="8" t="n"/>
    </row>
    <row r="14">
      <c r="A14" s="4" t="n">
        <v>11</v>
      </c>
      <c r="B14" s="4" t="inlineStr">
        <is>
          <t>Foundation</t>
        </is>
      </c>
      <c r="C14" s="4" t="inlineStr">
        <is>
          <t>Parts I–III; tables to 20; squares to 30; cubes to 15</t>
        </is>
      </c>
      <c r="D14" s="4" t="n"/>
      <c r="E14" s="4" t="n"/>
    </row>
    <row r="15">
      <c r="A15" s="8" t="n">
        <v>12</v>
      </c>
      <c r="B15" s="8" t="inlineStr">
        <is>
          <t>Foundation</t>
        </is>
      </c>
      <c r="C15" s="8" t="inlineStr">
        <is>
          <t>Parts I–III; tables to 20; squares to 30; cubes to 15</t>
        </is>
      </c>
      <c r="D15" s="8" t="n"/>
      <c r="E15" s="8" t="n"/>
    </row>
    <row r="16">
      <c r="A16" s="4" t="n">
        <v>13</v>
      </c>
      <c r="B16" s="4" t="inlineStr">
        <is>
          <t>Foundation</t>
        </is>
      </c>
      <c r="C16" s="4" t="inlineStr">
        <is>
          <t>Parts I–III; tables to 20; squares to 30; cubes to 15</t>
        </is>
      </c>
      <c r="D16" s="4" t="n"/>
      <c r="E16" s="4" t="n"/>
    </row>
    <row r="17">
      <c r="A17" s="8" t="n">
        <v>14</v>
      </c>
      <c r="B17" s="8" t="inlineStr">
        <is>
          <t>Foundation</t>
        </is>
      </c>
      <c r="C17" s="8" t="inlineStr">
        <is>
          <t>Parts I–III; tables to 20; squares to 30; cubes to 15 · weekly revision</t>
        </is>
      </c>
      <c r="D17" s="8" t="n"/>
      <c r="E17" s="8" t="n"/>
    </row>
    <row r="18">
      <c r="A18" s="4" t="n">
        <v>15</v>
      </c>
      <c r="B18" s="4" t="inlineStr">
        <is>
          <t>Foundation</t>
        </is>
      </c>
      <c r="C18" s="4" t="inlineStr">
        <is>
          <t>Parts I–III; tables to 20; squares to 30; cubes to 15</t>
        </is>
      </c>
      <c r="D18" s="4" t="n"/>
      <c r="E18" s="4" t="n"/>
    </row>
    <row r="19">
      <c r="A19" s="8" t="n">
        <v>16</v>
      </c>
      <c r="B19" s="8" t="inlineStr">
        <is>
          <t>Speed</t>
        </is>
      </c>
      <c r="C19" s="8" t="inlineStr">
        <is>
          <t>Parts IV–VI; one timed test from Part XII daily</t>
        </is>
      </c>
      <c r="D19" s="8" t="n"/>
      <c r="E19" s="8" t="n"/>
    </row>
    <row r="20">
      <c r="A20" s="4" t="n">
        <v>17</v>
      </c>
      <c r="B20" s="4" t="inlineStr">
        <is>
          <t>Speed</t>
        </is>
      </c>
      <c r="C20" s="4" t="inlineStr">
        <is>
          <t>Parts IV–VI; one timed test from Part XII daily</t>
        </is>
      </c>
      <c r="D20" s="4" t="n"/>
      <c r="E20" s="4" t="n"/>
    </row>
    <row r="21">
      <c r="A21" s="8" t="n">
        <v>18</v>
      </c>
      <c r="B21" s="8" t="inlineStr">
        <is>
          <t>Speed</t>
        </is>
      </c>
      <c r="C21" s="8" t="inlineStr">
        <is>
          <t>Parts IV–VI; one timed test from Part XII daily</t>
        </is>
      </c>
      <c r="D21" s="8" t="n"/>
      <c r="E21" s="8" t="n"/>
    </row>
    <row r="22">
      <c r="A22" s="4" t="n">
        <v>19</v>
      </c>
      <c r="B22" s="4" t="inlineStr">
        <is>
          <t>Speed</t>
        </is>
      </c>
      <c r="C22" s="4" t="inlineStr">
        <is>
          <t>Parts IV–VI; one timed test from Part XII daily</t>
        </is>
      </c>
      <c r="D22" s="4" t="n"/>
      <c r="E22" s="4" t="n"/>
    </row>
    <row r="23">
      <c r="A23" s="8" t="n">
        <v>20</v>
      </c>
      <c r="B23" s="8" t="inlineStr">
        <is>
          <t>Speed</t>
        </is>
      </c>
      <c r="C23" s="8" t="inlineStr">
        <is>
          <t>Parts IV–VI; one timed test from Part XII daily</t>
        </is>
      </c>
      <c r="D23" s="8" t="n"/>
      <c r="E23" s="8" t="n"/>
    </row>
    <row r="24">
      <c r="A24" s="4" t="n">
        <v>21</v>
      </c>
      <c r="B24" s="4" t="inlineStr">
        <is>
          <t>Speed</t>
        </is>
      </c>
      <c r="C24" s="4" t="inlineStr">
        <is>
          <t>Parts IV–VI; one timed test from Part XII daily · weekly revision</t>
        </is>
      </c>
      <c r="D24" s="4" t="n"/>
      <c r="E24" s="4" t="n"/>
    </row>
    <row r="25">
      <c r="A25" s="8" t="n">
        <v>22</v>
      </c>
      <c r="B25" s="8" t="inlineStr">
        <is>
          <t>Speed</t>
        </is>
      </c>
      <c r="C25" s="8" t="inlineStr">
        <is>
          <t>Parts IV–VI; one timed test from Part XII daily</t>
        </is>
      </c>
      <c r="D25" s="8" t="n"/>
      <c r="E25" s="8" t="n"/>
    </row>
    <row r="26">
      <c r="A26" s="4" t="n">
        <v>23</v>
      </c>
      <c r="B26" s="4" t="inlineStr">
        <is>
          <t>Speed</t>
        </is>
      </c>
      <c r="C26" s="4" t="inlineStr">
        <is>
          <t>Parts IV–VI; one timed test from Part XII daily</t>
        </is>
      </c>
      <c r="D26" s="4" t="n"/>
      <c r="E26" s="4" t="n"/>
    </row>
    <row r="27">
      <c r="A27" s="8" t="n">
        <v>24</v>
      </c>
      <c r="B27" s="8" t="inlineStr">
        <is>
          <t>Speed</t>
        </is>
      </c>
      <c r="C27" s="8" t="inlineStr">
        <is>
          <t>Parts IV–VI; one timed test from Part XII daily</t>
        </is>
      </c>
      <c r="D27" s="8" t="n"/>
      <c r="E27" s="8" t="n"/>
    </row>
    <row r="28">
      <c r="A28" s="4" t="n">
        <v>25</v>
      </c>
      <c r="B28" s="4" t="inlineStr">
        <is>
          <t>Speed</t>
        </is>
      </c>
      <c r="C28" s="4" t="inlineStr">
        <is>
          <t>Parts IV–VI; one timed test from Part XII daily</t>
        </is>
      </c>
      <c r="D28" s="4" t="n"/>
      <c r="E28" s="4" t="n"/>
    </row>
    <row r="29">
      <c r="A29" s="8" t="n">
        <v>26</v>
      </c>
      <c r="B29" s="8" t="inlineStr">
        <is>
          <t>Speed</t>
        </is>
      </c>
      <c r="C29" s="8" t="inlineStr">
        <is>
          <t>Parts IV–VI; one timed test from Part XII daily</t>
        </is>
      </c>
      <c r="D29" s="8" t="n"/>
      <c r="E29" s="8" t="n"/>
    </row>
    <row r="30">
      <c r="A30" s="4" t="n">
        <v>27</v>
      </c>
      <c r="B30" s="4" t="inlineStr">
        <is>
          <t>Speed</t>
        </is>
      </c>
      <c r="C30" s="4" t="inlineStr">
        <is>
          <t>Parts IV–VI; one timed test from Part XII daily</t>
        </is>
      </c>
      <c r="D30" s="4" t="n"/>
      <c r="E30" s="4" t="n"/>
    </row>
    <row r="31">
      <c r="A31" s="8" t="n">
        <v>28</v>
      </c>
      <c r="B31" s="8" t="inlineStr">
        <is>
          <t>Speed</t>
        </is>
      </c>
      <c r="C31" s="8" t="inlineStr">
        <is>
          <t>Parts IV–VI; one timed test from Part XII daily · weekly revision</t>
        </is>
      </c>
      <c r="D31" s="8" t="n"/>
      <c r="E31" s="8" t="n"/>
    </row>
    <row r="32">
      <c r="A32" s="4" t="n">
        <v>29</v>
      </c>
      <c r="B32" s="4" t="inlineStr">
        <is>
          <t>Speed</t>
        </is>
      </c>
      <c r="C32" s="4" t="inlineStr">
        <is>
          <t>Parts IV–VI; one timed test from Part XII daily</t>
        </is>
      </c>
      <c r="D32" s="4" t="n"/>
      <c r="E32" s="4" t="n"/>
    </row>
    <row r="33">
      <c r="A33" s="8" t="n">
        <v>30</v>
      </c>
      <c r="B33" s="8" t="inlineStr">
        <is>
          <t>Speed</t>
        </is>
      </c>
      <c r="C33" s="8" t="inlineStr">
        <is>
          <t>Parts IV–VI; one timed test from Part XII daily</t>
        </is>
      </c>
      <c r="D33" s="8" t="n"/>
      <c r="E33" s="8" t="n"/>
    </row>
    <row r="34">
      <c r="A34" s="4" t="n">
        <v>31</v>
      </c>
      <c r="B34" s="4" t="inlineStr">
        <is>
          <t>Speed</t>
        </is>
      </c>
      <c r="C34" s="4" t="inlineStr">
        <is>
          <t>Parts IV–VI; one timed test from Part XII daily</t>
        </is>
      </c>
      <c r="D34" s="4" t="n"/>
      <c r="E34" s="4" t="n"/>
    </row>
    <row r="35">
      <c r="A35" s="8" t="n">
        <v>32</v>
      </c>
      <c r="B35" s="8" t="inlineStr">
        <is>
          <t>Speed</t>
        </is>
      </c>
      <c r="C35" s="8" t="inlineStr">
        <is>
          <t>Parts IV–VI; one timed test from Part XII daily</t>
        </is>
      </c>
      <c r="D35" s="8" t="n"/>
      <c r="E35" s="8" t="n"/>
    </row>
    <row r="36">
      <c r="A36" s="4" t="n">
        <v>33</v>
      </c>
      <c r="B36" s="4" t="inlineStr">
        <is>
          <t>Speed</t>
        </is>
      </c>
      <c r="C36" s="4" t="inlineStr">
        <is>
          <t>Parts IV–VI; one timed test from Part XII daily</t>
        </is>
      </c>
      <c r="D36" s="4" t="n"/>
      <c r="E36" s="4" t="n"/>
    </row>
    <row r="37">
      <c r="A37" s="8" t="n">
        <v>34</v>
      </c>
      <c r="B37" s="8" t="inlineStr">
        <is>
          <t>Speed</t>
        </is>
      </c>
      <c r="C37" s="8" t="inlineStr">
        <is>
          <t>Parts IV–VI; one timed test from Part XII daily</t>
        </is>
      </c>
      <c r="D37" s="8" t="n"/>
      <c r="E37" s="8" t="n"/>
    </row>
    <row r="38">
      <c r="A38" s="4" t="n">
        <v>35</v>
      </c>
      <c r="B38" s="4" t="inlineStr">
        <is>
          <t>Speed</t>
        </is>
      </c>
      <c r="C38" s="4" t="inlineStr">
        <is>
          <t>Parts IV–VI; one timed test from Part XII daily · weekly revision</t>
        </is>
      </c>
      <c r="D38" s="4" t="n"/>
      <c r="E38" s="4" t="n"/>
    </row>
    <row r="39">
      <c r="A39" s="8" t="n">
        <v>36</v>
      </c>
      <c r="B39" s="8" t="inlineStr">
        <is>
          <t>Aptitude</t>
        </is>
      </c>
      <c r="C39" s="8" t="inlineStr">
        <is>
          <t>Part VIII (two chapters a week) plus one practice set daily</t>
        </is>
      </c>
      <c r="D39" s="8" t="n"/>
      <c r="E39" s="8" t="n"/>
    </row>
    <row r="40">
      <c r="A40" s="4" t="n">
        <v>37</v>
      </c>
      <c r="B40" s="4" t="inlineStr">
        <is>
          <t>Aptitude</t>
        </is>
      </c>
      <c r="C40" s="4" t="inlineStr">
        <is>
          <t>Part VIII (two chapters a week) plus one practice set daily</t>
        </is>
      </c>
      <c r="D40" s="4" t="n"/>
      <c r="E40" s="4" t="n"/>
    </row>
    <row r="41">
      <c r="A41" s="8" t="n">
        <v>38</v>
      </c>
      <c r="B41" s="8" t="inlineStr">
        <is>
          <t>Aptitude</t>
        </is>
      </c>
      <c r="C41" s="8" t="inlineStr">
        <is>
          <t>Part VIII (two chapters a week) plus one practice set daily</t>
        </is>
      </c>
      <c r="D41" s="8" t="n"/>
      <c r="E41" s="8" t="n"/>
    </row>
    <row r="42">
      <c r="A42" s="4" t="n">
        <v>39</v>
      </c>
      <c r="B42" s="4" t="inlineStr">
        <is>
          <t>Aptitude</t>
        </is>
      </c>
      <c r="C42" s="4" t="inlineStr">
        <is>
          <t>Part VIII (two chapters a week) plus one practice set daily</t>
        </is>
      </c>
      <c r="D42" s="4" t="n"/>
      <c r="E42" s="4" t="n"/>
    </row>
    <row r="43">
      <c r="A43" s="8" t="n">
        <v>40</v>
      </c>
      <c r="B43" s="8" t="inlineStr">
        <is>
          <t>Aptitude</t>
        </is>
      </c>
      <c r="C43" s="8" t="inlineStr">
        <is>
          <t>Part VIII (two chapters a week) plus one practice set daily</t>
        </is>
      </c>
      <c r="D43" s="8" t="n"/>
      <c r="E43" s="8" t="n"/>
    </row>
    <row r="44">
      <c r="A44" s="4" t="n">
        <v>41</v>
      </c>
      <c r="B44" s="4" t="inlineStr">
        <is>
          <t>Aptitude</t>
        </is>
      </c>
      <c r="C44" s="4" t="inlineStr">
        <is>
          <t>Part VIII (two chapters a week) plus one practice set daily</t>
        </is>
      </c>
      <c r="D44" s="4" t="n"/>
      <c r="E44" s="4" t="n"/>
    </row>
    <row r="45">
      <c r="A45" s="8" t="n">
        <v>42</v>
      </c>
      <c r="B45" s="8" t="inlineStr">
        <is>
          <t>Aptitude</t>
        </is>
      </c>
      <c r="C45" s="8" t="inlineStr">
        <is>
          <t>Part VIII (two chapters a week) plus one practice set daily · weekly revision</t>
        </is>
      </c>
      <c r="D45" s="8" t="n"/>
      <c r="E45" s="8" t="n"/>
    </row>
    <row r="46">
      <c r="A46" s="4" t="n">
        <v>43</v>
      </c>
      <c r="B46" s="4" t="inlineStr">
        <is>
          <t>Aptitude</t>
        </is>
      </c>
      <c r="C46" s="4" t="inlineStr">
        <is>
          <t>Part VIII (two chapters a week) plus one practice set daily</t>
        </is>
      </c>
      <c r="D46" s="4" t="n"/>
      <c r="E46" s="4" t="n"/>
    </row>
    <row r="47">
      <c r="A47" s="8" t="n">
        <v>44</v>
      </c>
      <c r="B47" s="8" t="inlineStr">
        <is>
          <t>Aptitude</t>
        </is>
      </c>
      <c r="C47" s="8" t="inlineStr">
        <is>
          <t>Part VIII (two chapters a week) plus one practice set daily</t>
        </is>
      </c>
      <c r="D47" s="8" t="n"/>
      <c r="E47" s="8" t="n"/>
    </row>
    <row r="48">
      <c r="A48" s="4" t="n">
        <v>45</v>
      </c>
      <c r="B48" s="4" t="inlineStr">
        <is>
          <t>Aptitude</t>
        </is>
      </c>
      <c r="C48" s="4" t="inlineStr">
        <is>
          <t>Part VIII (two chapters a week) plus one practice set daily</t>
        </is>
      </c>
      <c r="D48" s="4" t="n"/>
      <c r="E48" s="4" t="n"/>
    </row>
    <row r="49">
      <c r="A49" s="8" t="n">
        <v>46</v>
      </c>
      <c r="B49" s="8" t="inlineStr">
        <is>
          <t>Aptitude</t>
        </is>
      </c>
      <c r="C49" s="8" t="inlineStr">
        <is>
          <t>Part VIII (two chapters a week) plus one practice set daily</t>
        </is>
      </c>
      <c r="D49" s="8" t="n"/>
      <c r="E49" s="8" t="n"/>
    </row>
    <row r="50">
      <c r="A50" s="4" t="n">
        <v>47</v>
      </c>
      <c r="B50" s="4" t="inlineStr">
        <is>
          <t>Aptitude</t>
        </is>
      </c>
      <c r="C50" s="4" t="inlineStr">
        <is>
          <t>Part VIII (two chapters a week) plus one practice set daily</t>
        </is>
      </c>
      <c r="D50" s="4" t="n"/>
      <c r="E50" s="4" t="n"/>
    </row>
    <row r="51">
      <c r="A51" s="8" t="n">
        <v>48</v>
      </c>
      <c r="B51" s="8" t="inlineStr">
        <is>
          <t>Aptitude</t>
        </is>
      </c>
      <c r="C51" s="8" t="inlineStr">
        <is>
          <t>Part VIII (two chapters a week) plus one practice set daily</t>
        </is>
      </c>
      <c r="D51" s="8" t="n"/>
      <c r="E51" s="8" t="n"/>
    </row>
    <row r="52">
      <c r="A52" s="4" t="n">
        <v>49</v>
      </c>
      <c r="B52" s="4" t="inlineStr">
        <is>
          <t>Aptitude</t>
        </is>
      </c>
      <c r="C52" s="4" t="inlineStr">
        <is>
          <t>Part VIII (two chapters a week) plus one practice set daily · weekly revision</t>
        </is>
      </c>
      <c r="D52" s="4" t="n"/>
      <c r="E52" s="4" t="n"/>
    </row>
    <row r="53">
      <c r="A53" s="8" t="n">
        <v>50</v>
      </c>
      <c r="B53" s="8" t="inlineStr">
        <is>
          <t>Aptitude</t>
        </is>
      </c>
      <c r="C53" s="8" t="inlineStr">
        <is>
          <t>Part VIII (two chapters a week) plus one practice set daily</t>
        </is>
      </c>
      <c r="D53" s="8" t="n"/>
      <c r="E53" s="8" t="n"/>
    </row>
    <row r="54">
      <c r="A54" s="4" t="n">
        <v>51</v>
      </c>
      <c r="B54" s="4" t="inlineStr">
        <is>
          <t>Aptitude</t>
        </is>
      </c>
      <c r="C54" s="4" t="inlineStr">
        <is>
          <t>Part VIII (two chapters a week) plus one practice set daily</t>
        </is>
      </c>
      <c r="D54" s="4" t="n"/>
      <c r="E54" s="4" t="n"/>
    </row>
    <row r="55">
      <c r="A55" s="8" t="n">
        <v>52</v>
      </c>
      <c r="B55" s="8" t="inlineStr">
        <is>
          <t>Aptitude</t>
        </is>
      </c>
      <c r="C55" s="8" t="inlineStr">
        <is>
          <t>Part VIII (two chapters a week) plus one practice set daily</t>
        </is>
      </c>
      <c r="D55" s="8" t="n"/>
      <c r="E55" s="8" t="n"/>
    </row>
    <row r="56">
      <c r="A56" s="4" t="n">
        <v>53</v>
      </c>
      <c r="B56" s="4" t="inlineStr">
        <is>
          <t>Aptitude</t>
        </is>
      </c>
      <c r="C56" s="4" t="inlineStr">
        <is>
          <t>Part VIII (two chapters a week) plus one practice set daily</t>
        </is>
      </c>
      <c r="D56" s="4" t="n"/>
      <c r="E56" s="4" t="n"/>
    </row>
    <row r="57">
      <c r="A57" s="8" t="n">
        <v>54</v>
      </c>
      <c r="B57" s="8" t="inlineStr">
        <is>
          <t>Aptitude</t>
        </is>
      </c>
      <c r="C57" s="8" t="inlineStr">
        <is>
          <t>Part VIII (two chapters a week) plus one practice set daily</t>
        </is>
      </c>
      <c r="D57" s="8" t="n"/>
      <c r="E57" s="8" t="n"/>
    </row>
    <row r="58">
      <c r="A58" s="4" t="n">
        <v>55</v>
      </c>
      <c r="B58" s="4" t="inlineStr">
        <is>
          <t>Aptitude</t>
        </is>
      </c>
      <c r="C58" s="4" t="inlineStr">
        <is>
          <t>Part VIII (two chapters a week) plus one practice set daily</t>
        </is>
      </c>
      <c r="D58" s="4" t="n"/>
      <c r="E58" s="4" t="n"/>
    </row>
    <row r="59">
      <c r="A59" s="8" t="n">
        <v>56</v>
      </c>
      <c r="B59" s="8" t="inlineStr">
        <is>
          <t>Aptitude</t>
        </is>
      </c>
      <c r="C59" s="8" t="inlineStr">
        <is>
          <t>Part VIII (two chapters a week) plus one practice set daily · weekly revision</t>
        </is>
      </c>
      <c r="D59" s="8" t="n"/>
      <c r="E59" s="8" t="n"/>
    </row>
    <row r="60">
      <c r="A60" s="4" t="n">
        <v>57</v>
      </c>
      <c r="B60" s="4" t="inlineStr">
        <is>
          <t>Aptitude</t>
        </is>
      </c>
      <c r="C60" s="4" t="inlineStr">
        <is>
          <t>Part VIII (two chapters a week) plus one practice set daily</t>
        </is>
      </c>
      <c r="D60" s="4" t="n"/>
      <c r="E60" s="4" t="n"/>
    </row>
    <row r="61">
      <c r="A61" s="8" t="n">
        <v>58</v>
      </c>
      <c r="B61" s="8" t="inlineStr">
        <is>
          <t>Aptitude</t>
        </is>
      </c>
      <c r="C61" s="8" t="inlineStr">
        <is>
          <t>Part VIII (two chapters a week) plus one practice set daily</t>
        </is>
      </c>
      <c r="D61" s="8" t="n"/>
      <c r="E61" s="8" t="n"/>
    </row>
    <row r="62">
      <c r="A62" s="4" t="n">
        <v>59</v>
      </c>
      <c r="B62" s="4" t="inlineStr">
        <is>
          <t>Aptitude</t>
        </is>
      </c>
      <c r="C62" s="4" t="inlineStr">
        <is>
          <t>Part VIII (two chapters a week) plus one practice set daily</t>
        </is>
      </c>
      <c r="D62" s="4" t="n"/>
      <c r="E62" s="4" t="n"/>
    </row>
    <row r="63">
      <c r="A63" s="8" t="n">
        <v>60</v>
      </c>
      <c r="B63" s="8" t="inlineStr">
        <is>
          <t>Aptitude</t>
        </is>
      </c>
      <c r="C63" s="8" t="inlineStr">
        <is>
          <t>Part VIII (two chapters a week) plus one practice set daily</t>
        </is>
      </c>
      <c r="D63" s="8" t="n"/>
      <c r="E63" s="8" t="n"/>
    </row>
    <row r="64">
      <c r="A64" s="4" t="n">
        <v>61</v>
      </c>
      <c r="B64" s="4" t="inlineStr">
        <is>
          <t>Aptitude</t>
        </is>
      </c>
      <c r="C64" s="4" t="inlineStr">
        <is>
          <t>Part VIII (two chapters a week) plus one practice set daily</t>
        </is>
      </c>
      <c r="D64" s="4" t="n"/>
      <c r="E64" s="4" t="n"/>
    </row>
    <row r="65">
      <c r="A65" s="8" t="n">
        <v>62</v>
      </c>
      <c r="B65" s="8" t="inlineStr">
        <is>
          <t>Aptitude</t>
        </is>
      </c>
      <c r="C65" s="8" t="inlineStr">
        <is>
          <t>Part VIII (two chapters a week) plus one practice set daily</t>
        </is>
      </c>
      <c r="D65" s="8" t="n"/>
      <c r="E65" s="8" t="n"/>
    </row>
    <row r="66">
      <c r="A66" s="4" t="n">
        <v>63</v>
      </c>
      <c r="B66" s="4" t="inlineStr">
        <is>
          <t>Aptitude</t>
        </is>
      </c>
      <c r="C66" s="4" t="inlineStr">
        <is>
          <t>Part VIII (two chapters a week) plus one practice set daily · weekly revision</t>
        </is>
      </c>
      <c r="D66" s="4" t="n"/>
      <c r="E66" s="4" t="n"/>
    </row>
    <row r="67">
      <c r="A67" s="8" t="n">
        <v>64</v>
      </c>
      <c r="B67" s="8" t="inlineStr">
        <is>
          <t>Aptitude</t>
        </is>
      </c>
      <c r="C67" s="8" t="inlineStr">
        <is>
          <t>Part VIII (two chapters a week) plus one practice set daily</t>
        </is>
      </c>
      <c r="D67" s="8" t="n"/>
      <c r="E67" s="8" t="n"/>
    </row>
    <row r="68">
      <c r="A68" s="4" t="n">
        <v>65</v>
      </c>
      <c r="B68" s="4" t="inlineStr">
        <is>
          <t>Aptitude</t>
        </is>
      </c>
      <c r="C68" s="4" t="inlineStr">
        <is>
          <t>Part VIII (two chapters a week) plus one practice set daily</t>
        </is>
      </c>
      <c r="D68" s="4" t="n"/>
      <c r="E68" s="4" t="n"/>
    </row>
    <row r="69">
      <c r="A69" s="8" t="n">
        <v>66</v>
      </c>
      <c r="B69" s="8" t="inlineStr">
        <is>
          <t>Exam skills</t>
        </is>
      </c>
      <c r="C69" s="8" t="inlineStr">
        <is>
          <t>Part XI; DI and approximation daily; sectional mocks</t>
        </is>
      </c>
      <c r="D69" s="8" t="n"/>
      <c r="E69" s="8" t="n"/>
    </row>
    <row r="70">
      <c r="A70" s="4" t="n">
        <v>67</v>
      </c>
      <c r="B70" s="4" t="inlineStr">
        <is>
          <t>Exam skills</t>
        </is>
      </c>
      <c r="C70" s="4" t="inlineStr">
        <is>
          <t>Part XI; DI and approximation daily; sectional mocks</t>
        </is>
      </c>
      <c r="D70" s="4" t="n"/>
      <c r="E70" s="4" t="n"/>
    </row>
    <row r="71">
      <c r="A71" s="8" t="n">
        <v>68</v>
      </c>
      <c r="B71" s="8" t="inlineStr">
        <is>
          <t>Exam skills</t>
        </is>
      </c>
      <c r="C71" s="8" t="inlineStr">
        <is>
          <t>Part XI; DI and approximation daily; sectional mocks</t>
        </is>
      </c>
      <c r="D71" s="8" t="n"/>
      <c r="E71" s="8" t="n"/>
    </row>
    <row r="72">
      <c r="A72" s="4" t="n">
        <v>69</v>
      </c>
      <c r="B72" s="4" t="inlineStr">
        <is>
          <t>Exam skills</t>
        </is>
      </c>
      <c r="C72" s="4" t="inlineStr">
        <is>
          <t>Part XI; DI and approximation daily; sectional mocks</t>
        </is>
      </c>
      <c r="D72" s="4" t="n"/>
      <c r="E72" s="4" t="n"/>
    </row>
    <row r="73">
      <c r="A73" s="8" t="n">
        <v>70</v>
      </c>
      <c r="B73" s="8" t="inlineStr">
        <is>
          <t>Exam skills</t>
        </is>
      </c>
      <c r="C73" s="8" t="inlineStr">
        <is>
          <t>Part XI; DI and approximation daily; sectional mocks · weekly revision</t>
        </is>
      </c>
      <c r="D73" s="8" t="n"/>
      <c r="E73" s="8" t="n"/>
    </row>
    <row r="74">
      <c r="A74" s="4" t="n">
        <v>71</v>
      </c>
      <c r="B74" s="4" t="inlineStr">
        <is>
          <t>Exam skills</t>
        </is>
      </c>
      <c r="C74" s="4" t="inlineStr">
        <is>
          <t>Part XI; DI and approximation daily; sectional mocks</t>
        </is>
      </c>
      <c r="D74" s="4" t="n"/>
      <c r="E74" s="4" t="n"/>
    </row>
    <row r="75">
      <c r="A75" s="8" t="n">
        <v>72</v>
      </c>
      <c r="B75" s="8" t="inlineStr">
        <is>
          <t>Exam skills</t>
        </is>
      </c>
      <c r="C75" s="8" t="inlineStr">
        <is>
          <t>Part XI; DI and approximation daily; sectional mocks</t>
        </is>
      </c>
      <c r="D75" s="8" t="n"/>
      <c r="E75" s="8" t="n"/>
    </row>
    <row r="76">
      <c r="A76" s="4" t="n">
        <v>73</v>
      </c>
      <c r="B76" s="4" t="inlineStr">
        <is>
          <t>Exam skills</t>
        </is>
      </c>
      <c r="C76" s="4" t="inlineStr">
        <is>
          <t>Part XI; DI and approximation daily; sectional mocks</t>
        </is>
      </c>
      <c r="D76" s="4" t="n"/>
      <c r="E76" s="4" t="n"/>
    </row>
    <row r="77">
      <c r="A77" s="8" t="n">
        <v>74</v>
      </c>
      <c r="B77" s="8" t="inlineStr">
        <is>
          <t>Exam skills</t>
        </is>
      </c>
      <c r="C77" s="8" t="inlineStr">
        <is>
          <t>Part XI; DI and approximation daily; sectional mocks</t>
        </is>
      </c>
      <c r="D77" s="8" t="n"/>
      <c r="E77" s="8" t="n"/>
    </row>
    <row r="78">
      <c r="A78" s="4" t="n">
        <v>75</v>
      </c>
      <c r="B78" s="4" t="inlineStr">
        <is>
          <t>Exam skills</t>
        </is>
      </c>
      <c r="C78" s="4" t="inlineStr">
        <is>
          <t>Part XI; DI and approximation daily; sectional mocks</t>
        </is>
      </c>
      <c r="D78" s="4" t="n"/>
      <c r="E78" s="4" t="n"/>
    </row>
    <row r="79">
      <c r="A79" s="8" t="n">
        <v>76</v>
      </c>
      <c r="B79" s="8" t="inlineStr">
        <is>
          <t>Exam skills</t>
        </is>
      </c>
      <c r="C79" s="8" t="inlineStr">
        <is>
          <t>Part XI; DI and approximation daily; sectional mocks</t>
        </is>
      </c>
      <c r="D79" s="8" t="n"/>
      <c r="E79" s="8" t="n"/>
    </row>
    <row r="80">
      <c r="A80" s="4" t="n">
        <v>77</v>
      </c>
      <c r="B80" s="4" t="inlineStr">
        <is>
          <t>Exam skills</t>
        </is>
      </c>
      <c r="C80" s="4" t="inlineStr">
        <is>
          <t>Part XI; DI and approximation daily; sectional mocks · weekly revision</t>
        </is>
      </c>
      <c r="D80" s="4" t="n"/>
      <c r="E80" s="4" t="n"/>
    </row>
    <row r="81">
      <c r="A81" s="8" t="n">
        <v>78</v>
      </c>
      <c r="B81" s="8" t="inlineStr">
        <is>
          <t>Exam skills</t>
        </is>
      </c>
      <c r="C81" s="8" t="inlineStr">
        <is>
          <t>Part XI; DI and approximation daily; sectional mocks</t>
        </is>
      </c>
      <c r="D81" s="8" t="n"/>
      <c r="E81" s="8" t="n"/>
    </row>
    <row r="82">
      <c r="A82" s="4" t="n">
        <v>79</v>
      </c>
      <c r="B82" s="4" t="inlineStr">
        <is>
          <t>Exam skills</t>
        </is>
      </c>
      <c r="C82" s="4" t="inlineStr">
        <is>
          <t>Part XI; DI and approximation daily; sectional mocks</t>
        </is>
      </c>
      <c r="D82" s="4" t="n"/>
      <c r="E82" s="4" t="n"/>
    </row>
    <row r="83">
      <c r="A83" s="8" t="n">
        <v>80</v>
      </c>
      <c r="B83" s="8" t="inlineStr">
        <is>
          <t>Exam skills</t>
        </is>
      </c>
      <c r="C83" s="8" t="inlineStr">
        <is>
          <t>Part XI; DI and approximation daily; sectional mocks</t>
        </is>
      </c>
      <c r="D83" s="8" t="n"/>
      <c r="E83" s="8" t="n"/>
    </row>
    <row r="84">
      <c r="A84" s="4" t="n">
        <v>81</v>
      </c>
      <c r="B84" s="4" t="inlineStr">
        <is>
          <t>Revision</t>
        </is>
      </c>
      <c r="C84" s="4" t="inlineStr">
        <is>
          <t>Part XV formula sheets; redo the Mistake Log; full mocks</t>
        </is>
      </c>
      <c r="D84" s="4" t="n"/>
      <c r="E84" s="4" t="n"/>
    </row>
    <row r="85">
      <c r="A85" s="8" t="n">
        <v>82</v>
      </c>
      <c r="B85" s="8" t="inlineStr">
        <is>
          <t>Revision</t>
        </is>
      </c>
      <c r="C85" s="8" t="inlineStr">
        <is>
          <t>Part XV formula sheets; redo the Mistake Log; full mocks</t>
        </is>
      </c>
      <c r="D85" s="8" t="n"/>
      <c r="E85" s="8" t="n"/>
    </row>
    <row r="86">
      <c r="A86" s="4" t="n">
        <v>83</v>
      </c>
      <c r="B86" s="4" t="inlineStr">
        <is>
          <t>Revision</t>
        </is>
      </c>
      <c r="C86" s="4" t="inlineStr">
        <is>
          <t>Part XV formula sheets; redo the Mistake Log; full mocks</t>
        </is>
      </c>
      <c r="D86" s="4" t="n"/>
      <c r="E86" s="4" t="n"/>
    </row>
    <row r="87">
      <c r="A87" s="8" t="n">
        <v>84</v>
      </c>
      <c r="B87" s="8" t="inlineStr">
        <is>
          <t>Revision</t>
        </is>
      </c>
      <c r="C87" s="8" t="inlineStr">
        <is>
          <t>Part XV formula sheets; redo the Mistake Log; full mocks · weekly revision</t>
        </is>
      </c>
      <c r="D87" s="8" t="n"/>
      <c r="E87" s="8" t="n"/>
    </row>
    <row r="88">
      <c r="A88" s="4" t="n">
        <v>85</v>
      </c>
      <c r="B88" s="4" t="inlineStr">
        <is>
          <t>Revision</t>
        </is>
      </c>
      <c r="C88" s="4" t="inlineStr">
        <is>
          <t>Part XV formula sheets; redo the Mistake Log; full mocks</t>
        </is>
      </c>
      <c r="D88" s="4" t="n"/>
      <c r="E88" s="4" t="n"/>
    </row>
    <row r="89">
      <c r="A89" s="8" t="n">
        <v>86</v>
      </c>
      <c r="B89" s="8" t="inlineStr">
        <is>
          <t>Revision</t>
        </is>
      </c>
      <c r="C89" s="8" t="inlineStr">
        <is>
          <t>Part XV formula sheets; redo the Mistake Log; full mocks</t>
        </is>
      </c>
      <c r="D89" s="8" t="n"/>
      <c r="E89" s="8" t="n"/>
    </row>
    <row r="90">
      <c r="A90" s="4" t="n">
        <v>87</v>
      </c>
      <c r="B90" s="4" t="inlineStr">
        <is>
          <t>Revision</t>
        </is>
      </c>
      <c r="C90" s="4" t="inlineStr">
        <is>
          <t>Part XV formula sheets; redo the Mistake Log; full mocks</t>
        </is>
      </c>
      <c r="D90" s="4" t="n"/>
      <c r="E90" s="4" t="n"/>
    </row>
    <row r="91">
      <c r="A91" s="8" t="n">
        <v>88</v>
      </c>
      <c r="B91" s="8" t="inlineStr">
        <is>
          <t>Revision</t>
        </is>
      </c>
      <c r="C91" s="8" t="inlineStr">
        <is>
          <t>Part XV formula sheets; redo the Mistake Log; full mocks</t>
        </is>
      </c>
      <c r="D91" s="8" t="n"/>
      <c r="E91" s="8" t="n"/>
    </row>
    <row r="92">
      <c r="A92" s="4" t="n">
        <v>89</v>
      </c>
      <c r="B92" s="4" t="inlineStr">
        <is>
          <t>Revision</t>
        </is>
      </c>
      <c r="C92" s="4" t="inlineStr">
        <is>
          <t>Part XV formula sheets; redo the Mistake Log; full mocks</t>
        </is>
      </c>
      <c r="D92" s="4" t="n"/>
      <c r="E92" s="4" t="n"/>
    </row>
    <row r="93">
      <c r="A93" s="8" t="n">
        <v>90</v>
      </c>
      <c r="B93" s="8" t="inlineStr">
        <is>
          <t>Revision</t>
        </is>
      </c>
      <c r="C93" s="8" t="inlineStr">
        <is>
          <t>Part XV formula sheets; redo the Mistake Log; full mocks</t>
        </is>
      </c>
      <c r="D93" s="8" t="n"/>
      <c r="E93" s="8" t="n"/>
    </row>
  </sheetData>
  <dataValidations count="1">
    <dataValidation sqref="D4:D93" showDropDown="0" showInputMessage="0" showErrorMessage="0" allowBlank="1" type="list">
      <formula1>Lists!$C$1:$C$2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Complements and add/sub</t>
        </is>
      </c>
      <c r="B1" t="inlineStr">
        <is>
          <t>Concept gap</t>
        </is>
      </c>
      <c r="C1" t="inlineStr">
        <is>
          <t>Yes</t>
        </is>
      </c>
    </row>
    <row r="2">
      <c r="A2" t="inlineStr">
        <is>
          <t>×11; ×5; ×25; ×9s</t>
        </is>
      </c>
      <c r="B2" t="inlineStr">
        <is>
          <t>Careless</t>
        </is>
      </c>
      <c r="C2" t="inlineStr">
        <is>
          <t>No</t>
        </is>
      </c>
    </row>
    <row r="3">
      <c r="A3" t="inlineStr">
        <is>
          <t>Nikhilam</t>
        </is>
      </c>
      <c r="B3" t="inlineStr">
        <is>
          <t>Too slow</t>
        </is>
      </c>
    </row>
    <row r="4">
      <c r="A4" t="inlineStr">
        <is>
          <t>Urdhva-Tiryagbhyam</t>
        </is>
      </c>
      <c r="B4" t="inlineStr">
        <is>
          <t>Misread question</t>
        </is>
      </c>
    </row>
    <row r="5">
      <c r="A5" t="inlineStr">
        <is>
          <t>Squares and square roots</t>
        </is>
      </c>
      <c r="B5" t="inlineStr">
        <is>
          <t>Wrong shortcut</t>
        </is>
      </c>
    </row>
    <row r="6">
      <c r="A6" t="inlineStr">
        <is>
          <t>Cubes and cube roots</t>
        </is>
      </c>
      <c r="B6" t="inlineStr">
        <is>
          <t>Calculation slip</t>
        </is>
      </c>
    </row>
    <row r="7">
      <c r="A7" t="inlineStr">
        <is>
          <t>Division methods</t>
        </is>
      </c>
      <c r="B7" t="inlineStr">
        <is>
          <t>Guessed</t>
        </is>
      </c>
    </row>
    <row r="8">
      <c r="A8" t="inlineStr">
        <is>
          <t>Fractions and percentages</t>
        </is>
      </c>
    </row>
    <row r="9">
      <c r="A9" t="inlineStr">
        <is>
          <t>Algebra identities and factorising</t>
        </is>
      </c>
    </row>
    <row r="10">
      <c r="A10" t="inlineStr">
        <is>
          <t>Simultaneous and quadratic equations</t>
        </is>
      </c>
    </row>
    <row r="11">
      <c r="A11" t="inlineStr">
        <is>
          <t>Ratio; averages; mixtures</t>
        </is>
      </c>
    </row>
    <row r="12">
      <c r="A12" t="inlineStr">
        <is>
          <t>Profit; loss; discount</t>
        </is>
      </c>
    </row>
    <row r="13">
      <c r="A13" t="inlineStr">
        <is>
          <t>Simple and compound interest</t>
        </is>
      </c>
    </row>
    <row r="14">
      <c r="A14" t="inlineStr">
        <is>
          <t>Time and work; pipes</t>
        </is>
      </c>
    </row>
    <row r="15">
      <c r="A15" t="inlineStr">
        <is>
          <t>Speed; trains; boats</t>
        </is>
      </c>
    </row>
    <row r="16">
      <c r="A16" t="inlineStr">
        <is>
          <t>Number system and remainders</t>
        </is>
      </c>
    </row>
    <row r="17">
      <c r="A17" t="inlineStr">
        <is>
          <t>Counting and probability</t>
        </is>
      </c>
    </row>
    <row r="18">
      <c r="A18" t="inlineStr">
        <is>
          <t>Mensuration</t>
        </is>
      </c>
    </row>
    <row r="19">
      <c r="A19" t="inlineStr">
        <is>
          <t>Calendar</t>
        </is>
      </c>
    </row>
    <row r="20">
      <c r="A20" t="inlineStr">
        <is>
          <t>Simplification and approximation</t>
        </is>
      </c>
    </row>
    <row r="21">
      <c r="A21" t="inlineStr">
        <is>
          <t>Data interpretation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2026-10-12T14:04:11Z</dcterms:created>
  <dcterms:modified xmlns:dcterms="http://purl.org/dc/terms/" xmlns:xsi="http://www.w3.org/2001/XMLSchema-instance" xsi:type="dcterms:W3CDTF">2026-10-12T14:04:11Z</dcterms:modified>
</cp:coreProperties>
</file>